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taset Project\Data Analyst Project\"/>
    </mc:Choice>
  </mc:AlternateContent>
  <xr:revisionPtr revIDLastSave="0" documentId="8_{46F24567-0063-4D7D-A720-C4393FCA84A8}" xr6:coauthVersionLast="47" xr6:coauthVersionMax="47" xr10:uidLastSave="{00000000-0000-0000-0000-000000000000}"/>
  <bookViews>
    <workbookView xWindow="-108" yWindow="-108" windowWidth="23256" windowHeight="12456" firstSheet="2" activeTab="3" xr2:uid="{D0435F65-DF86-451C-A589-D71802DD24A1}"/>
  </bookViews>
  <sheets>
    <sheet name="Sales by Product Category" sheetId="2" r:id="rId1"/>
    <sheet name="Sales by Order Channel" sheetId="3" r:id="rId2"/>
    <sheet name="Sales by Branch" sheetId="4" r:id="rId3"/>
    <sheet name="Monthly Revenue Trend" sheetId="7" r:id="rId4"/>
    <sheet name="Sales by Payment Method" sheetId="5" r:id="rId5"/>
    <sheet name="Dashboard" sheetId="6" r:id="rId6"/>
    <sheet name="Sales Raw Data" sheetId="1" r:id="rId7"/>
  </sheet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6" l="1"/>
  <c r="V2" i="6"/>
</calcChain>
</file>

<file path=xl/sharedStrings.xml><?xml version="1.0" encoding="utf-8"?>
<sst xmlns="http://schemas.openxmlformats.org/spreadsheetml/2006/main" count="4265" uniqueCount="209">
  <si>
    <t>Order_ID</t>
  </si>
  <si>
    <t>Order_Date</t>
  </si>
  <si>
    <t>Month</t>
  </si>
  <si>
    <t>Branch</t>
  </si>
  <si>
    <t>City</t>
  </si>
  <si>
    <t>Barista_Name</t>
  </si>
  <si>
    <t>Customer_ID</t>
  </si>
  <si>
    <t>Customer_Type</t>
  </si>
  <si>
    <t>Product_Category</t>
  </si>
  <si>
    <t>Product_Name</t>
  </si>
  <si>
    <t>Size</t>
  </si>
  <si>
    <t>Quantity</t>
  </si>
  <si>
    <t>Unit_Price</t>
  </si>
  <si>
    <t>Discount_%</t>
  </si>
  <si>
    <t>Total_Sales</t>
  </si>
  <si>
    <t>Payment_Method</t>
  </si>
  <si>
    <t>Order_Channel</t>
  </si>
  <si>
    <t>Loyalty_Member</t>
  </si>
  <si>
    <t>Stock_Status</t>
  </si>
  <si>
    <t>Customer_Rating</t>
  </si>
  <si>
    <t>Returned_Order</t>
  </si>
  <si>
    <t>Mar</t>
  </si>
  <si>
    <t>Sydney CBD</t>
  </si>
  <si>
    <t>Sydney</t>
  </si>
  <si>
    <t>Sam</t>
  </si>
  <si>
    <t>C175</t>
  </si>
  <si>
    <t>Returning</t>
  </si>
  <si>
    <t>Hot Coffee</t>
  </si>
  <si>
    <t>Flat White</t>
  </si>
  <si>
    <t>S</t>
  </si>
  <si>
    <t>Cash</t>
  </si>
  <si>
    <t>In-Store</t>
  </si>
  <si>
    <t>Yes</t>
  </si>
  <si>
    <t>Available</t>
  </si>
  <si>
    <t>No</t>
  </si>
  <si>
    <t>Bondi Junction</t>
  </si>
  <si>
    <t>Alex</t>
  </si>
  <si>
    <t>C197</t>
  </si>
  <si>
    <t>New</t>
  </si>
  <si>
    <t>Espresso</t>
  </si>
  <si>
    <t>Gift Card</t>
  </si>
  <si>
    <t>Online</t>
  </si>
  <si>
    <t>Feb</t>
  </si>
  <si>
    <t>C193</t>
  </si>
  <si>
    <t>Mocha</t>
  </si>
  <si>
    <t>Taylor</t>
  </si>
  <si>
    <t>C110</t>
  </si>
  <si>
    <t>Retail Beans</t>
  </si>
  <si>
    <t>Ground Coffee 500g</t>
  </si>
  <si>
    <t>Low Stock</t>
  </si>
  <si>
    <t>Jan</t>
  </si>
  <si>
    <t>Chatswood</t>
  </si>
  <si>
    <t>Priya</t>
  </si>
  <si>
    <t>C168</t>
  </si>
  <si>
    <t>Corporate</t>
  </si>
  <si>
    <t>Tea</t>
  </si>
  <si>
    <t>Green Tea</t>
  </si>
  <si>
    <t>L</t>
  </si>
  <si>
    <t>Card</t>
  </si>
  <si>
    <t>Mia</t>
  </si>
  <si>
    <t>C134</t>
  </si>
  <si>
    <t>Cold Coffee</t>
  </si>
  <si>
    <t>M</t>
  </si>
  <si>
    <t>Delivery</t>
  </si>
  <si>
    <t>Liverpool</t>
  </si>
  <si>
    <t>C214</t>
  </si>
  <si>
    <t>Cold Brew</t>
  </si>
  <si>
    <t>C149</t>
  </si>
  <si>
    <t>Coffee Beans 1kg</t>
  </si>
  <si>
    <t>Noah</t>
  </si>
  <si>
    <t>C100</t>
  </si>
  <si>
    <t>Mobile Pay</t>
  </si>
  <si>
    <t>C176</t>
  </si>
  <si>
    <t>Sandwich</t>
  </si>
  <si>
    <t>Chicken Sandwich</t>
  </si>
  <si>
    <t>C116</t>
  </si>
  <si>
    <t>C115</t>
  </si>
  <si>
    <t>Parramatta</t>
  </si>
  <si>
    <t>C165</t>
  </si>
  <si>
    <t>Latte</t>
  </si>
  <si>
    <t>C184</t>
  </si>
  <si>
    <t>Pastry</t>
  </si>
  <si>
    <t>Croissant</t>
  </si>
  <si>
    <t>Jordan</t>
  </si>
  <si>
    <t>C124</t>
  </si>
  <si>
    <t>C183</t>
  </si>
  <si>
    <t>C136</t>
  </si>
  <si>
    <t>C164</t>
  </si>
  <si>
    <t>C179</t>
  </si>
  <si>
    <t>Dessert</t>
  </si>
  <si>
    <t>Brownie</t>
  </si>
  <si>
    <t>Chris</t>
  </si>
  <si>
    <t>C218</t>
  </si>
  <si>
    <t>C178</t>
  </si>
  <si>
    <t>C187</t>
  </si>
  <si>
    <t>C194</t>
  </si>
  <si>
    <t>C105</t>
  </si>
  <si>
    <t>C212</t>
  </si>
  <si>
    <t>English Breakfast</t>
  </si>
  <si>
    <t>C204</t>
  </si>
  <si>
    <t>C186</t>
  </si>
  <si>
    <t>Blueberry Muffin</t>
  </si>
  <si>
    <t>C151</t>
  </si>
  <si>
    <t>C201</t>
  </si>
  <si>
    <t>Cheesecake Slice</t>
  </si>
  <si>
    <t>C131</t>
  </si>
  <si>
    <t>liverpool</t>
  </si>
  <si>
    <t>C128</t>
  </si>
  <si>
    <t>C206</t>
  </si>
  <si>
    <t>C153</t>
  </si>
  <si>
    <t>C162</t>
  </si>
  <si>
    <t>Chai Latte</t>
  </si>
  <si>
    <t>C216</t>
  </si>
  <si>
    <t>Iced Latte</t>
  </si>
  <si>
    <t>C125</t>
  </si>
  <si>
    <t>C199</t>
  </si>
  <si>
    <t>C155</t>
  </si>
  <si>
    <t>C172</t>
  </si>
  <si>
    <t>C166</t>
  </si>
  <si>
    <t>C192</t>
  </si>
  <si>
    <t>C122</t>
  </si>
  <si>
    <t>C160</t>
  </si>
  <si>
    <t>C119</t>
  </si>
  <si>
    <t>C139</t>
  </si>
  <si>
    <t>C137</t>
  </si>
  <si>
    <t>C156</t>
  </si>
  <si>
    <t>C185</t>
  </si>
  <si>
    <t>C198</t>
  </si>
  <si>
    <t>C111</t>
  </si>
  <si>
    <t>C170</t>
  </si>
  <si>
    <t>C210</t>
  </si>
  <si>
    <t>C129</t>
  </si>
  <si>
    <t>C211</t>
  </si>
  <si>
    <t>C209</t>
  </si>
  <si>
    <t>C167</t>
  </si>
  <si>
    <t>C159</t>
  </si>
  <si>
    <t>C158</t>
  </si>
  <si>
    <t>Veggie Wrap</t>
  </si>
  <si>
    <t>C114</t>
  </si>
  <si>
    <t>C220</t>
  </si>
  <si>
    <t>Banana Bread</t>
  </si>
  <si>
    <t>C107</t>
  </si>
  <si>
    <t>C108</t>
  </si>
  <si>
    <t>C215</t>
  </si>
  <si>
    <t>C140</t>
  </si>
  <si>
    <t>C144</t>
  </si>
  <si>
    <t>Ham Toastie</t>
  </si>
  <si>
    <t>C148</t>
  </si>
  <si>
    <t>C195</t>
  </si>
  <si>
    <t>C173</t>
  </si>
  <si>
    <t>C190</t>
  </si>
  <si>
    <t>C112</t>
  </si>
  <si>
    <t>C106</t>
  </si>
  <si>
    <t>C213</t>
  </si>
  <si>
    <t>C117</t>
  </si>
  <si>
    <t>C180</t>
  </si>
  <si>
    <t>C104</t>
  </si>
  <si>
    <t>C123</t>
  </si>
  <si>
    <t>C146</t>
  </si>
  <si>
    <t>C163</t>
  </si>
  <si>
    <t>C132</t>
  </si>
  <si>
    <t>C207</t>
  </si>
  <si>
    <t>C161</t>
  </si>
  <si>
    <t>C109</t>
  </si>
  <si>
    <t>C150</t>
  </si>
  <si>
    <t>C171</t>
  </si>
  <si>
    <t>C219</t>
  </si>
  <si>
    <t>C101</t>
  </si>
  <si>
    <t>Cappuccino</t>
  </si>
  <si>
    <t>C157</t>
  </si>
  <si>
    <t>C138</t>
  </si>
  <si>
    <t>C130</t>
  </si>
  <si>
    <t>C203</t>
  </si>
  <si>
    <t>C121</t>
  </si>
  <si>
    <t>C113</t>
  </si>
  <si>
    <t>C141</t>
  </si>
  <si>
    <t>C202</t>
  </si>
  <si>
    <t>C174</t>
  </si>
  <si>
    <t>C182</t>
  </si>
  <si>
    <t>C200</t>
  </si>
  <si>
    <t>C188</t>
  </si>
  <si>
    <t>C196</t>
  </si>
  <si>
    <t>C181</t>
  </si>
  <si>
    <t>C102</t>
  </si>
  <si>
    <t>C135</t>
  </si>
  <si>
    <t>C127</t>
  </si>
  <si>
    <t>C145</t>
  </si>
  <si>
    <t>C191</t>
  </si>
  <si>
    <t>C143</t>
  </si>
  <si>
    <t>C142</t>
  </si>
  <si>
    <t>C152</t>
  </si>
  <si>
    <t>C154</t>
  </si>
  <si>
    <t>C126</t>
  </si>
  <si>
    <t>C205</t>
  </si>
  <si>
    <t>C118</t>
  </si>
  <si>
    <t>C189</t>
  </si>
  <si>
    <t>C208</t>
  </si>
  <si>
    <t>C177</t>
  </si>
  <si>
    <t>C147</t>
  </si>
  <si>
    <t>Unknown</t>
  </si>
  <si>
    <t>N/A</t>
  </si>
  <si>
    <t>Frappa</t>
  </si>
  <si>
    <t>Row Labels</t>
  </si>
  <si>
    <t>Grand Total</t>
  </si>
  <si>
    <t>Sum of Total_Sales</t>
  </si>
  <si>
    <t>Total Revenue</t>
  </si>
  <si>
    <t>Total Orders</t>
  </si>
  <si>
    <t>Top Category</t>
  </si>
  <si>
    <t>Top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</si>
</sst>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1" fontId="0" fillId="33" borderId="0" xfId="0" applyNumberFormat="1" applyFill="1"/>
    <xf numFmtId="0" fontId="0" fillId="33" borderId="0" xfId="0" applyFill="1"/>
    <xf numFmtId="0" fontId="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Analyst Project.xlsx]Sales by Product Category!PivotTable1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304-41D1-8FE3-A3554FF676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Product Category'!$A$4:$A$11</c:f>
              <c:strCache>
                <c:ptCount val="7"/>
                <c:pt idx="0">
                  <c:v>Retail Beans</c:v>
                </c:pt>
                <c:pt idx="1">
                  <c:v>Tea</c:v>
                </c:pt>
                <c:pt idx="2">
                  <c:v>Cold Coffee</c:v>
                </c:pt>
                <c:pt idx="3">
                  <c:v>Hot Coffee</c:v>
                </c:pt>
                <c:pt idx="4">
                  <c:v>Sandwich</c:v>
                </c:pt>
                <c:pt idx="5">
                  <c:v>Dessert</c:v>
                </c:pt>
                <c:pt idx="6">
                  <c:v>Pastry</c:v>
                </c:pt>
              </c:strCache>
            </c:strRef>
          </c:cat>
          <c:val>
            <c:numRef>
              <c:f>'Sales by Product Category'!$B$4:$B$11</c:f>
              <c:numCache>
                <c:formatCode>General</c:formatCode>
                <c:ptCount val="7"/>
                <c:pt idx="0">
                  <c:v>2554.4299999999989</c:v>
                </c:pt>
                <c:pt idx="1">
                  <c:v>710.15</c:v>
                </c:pt>
                <c:pt idx="2">
                  <c:v>611.98999999999978</c:v>
                </c:pt>
                <c:pt idx="3">
                  <c:v>595.6099999999999</c:v>
                </c:pt>
                <c:pt idx="4">
                  <c:v>595.07000000000005</c:v>
                </c:pt>
                <c:pt idx="5">
                  <c:v>580.88</c:v>
                </c:pt>
                <c:pt idx="6">
                  <c:v>342.92000000000007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4-41D1-8FE3-A3554FF676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64090368"/>
        <c:axId val="1664089888"/>
      </c:barChart>
      <c:catAx>
        <c:axId val="166409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Category</a:t>
                </a:r>
              </a:p>
            </c:rich>
          </c:tx>
          <c:layout>
            <c:manualLayout>
              <c:xMode val="edge"/>
              <c:yMode val="edge"/>
              <c:x val="0.48582424631173832"/>
              <c:y val="0.949530929845890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089888"/>
        <c:crosses val="autoZero"/>
        <c:auto val="1"/>
        <c:lblAlgn val="ctr"/>
        <c:lblOffset val="100"/>
        <c:noMultiLvlLbl val="0"/>
      </c:catAx>
      <c:valAx>
        <c:axId val="166408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09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Analyst Project.xlsx]Sales by Order Channel!PivotTable1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Order Channel</a:t>
            </a:r>
          </a:p>
        </c:rich>
      </c:tx>
      <c:layout>
        <c:manualLayout>
          <c:xMode val="edge"/>
          <c:yMode val="edge"/>
          <c:x val="0.41438118824240183"/>
          <c:y val="2.6265520534861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Order Channel'!$B$3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51-4D83-816E-EE7FAEB3D8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Order Channel'!$A$4:$A$7</c:f>
              <c:strCache>
                <c:ptCount val="3"/>
                <c:pt idx="0">
                  <c:v>Delivery</c:v>
                </c:pt>
                <c:pt idx="1">
                  <c:v>In-Store</c:v>
                </c:pt>
                <c:pt idx="2">
                  <c:v>Online</c:v>
                </c:pt>
              </c:strCache>
            </c:strRef>
          </c:cat>
          <c:val>
            <c:numRef>
              <c:f>'Sales by Order Channel'!$B$4:$B$7</c:f>
              <c:numCache>
                <c:formatCode>General</c:formatCode>
                <c:ptCount val="3"/>
                <c:pt idx="0">
                  <c:v>1620.049999999999</c:v>
                </c:pt>
                <c:pt idx="1">
                  <c:v>2167.1999999999994</c:v>
                </c:pt>
                <c:pt idx="2">
                  <c:v>2203.7999999999997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1-4D83-816E-EE7FAEB3D8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28365215"/>
        <c:axId val="428365695"/>
      </c:barChart>
      <c:catAx>
        <c:axId val="4283652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65695"/>
        <c:crosses val="autoZero"/>
        <c:auto val="1"/>
        <c:lblAlgn val="ctr"/>
        <c:lblOffset val="100"/>
        <c:noMultiLvlLbl val="0"/>
      </c:catAx>
      <c:valAx>
        <c:axId val="428365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6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Analyst Project.xlsx]Sales by Branch!PivotTable2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/>
              <a:t>Sales by Branch</a:t>
            </a:r>
            <a:endParaRPr lang="en-US" sz="1600" baseline="0"/>
          </a:p>
        </c:rich>
      </c:tx>
      <c:layout>
        <c:manualLayout>
          <c:xMode val="edge"/>
          <c:yMode val="edge"/>
          <c:x val="0.35960303889627737"/>
          <c:y val="3.60750360750360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Branch'!$B$3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7D-4B1A-9D8F-77BF75D29C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Branch'!$A$4:$A$9</c:f>
              <c:strCache>
                <c:ptCount val="5"/>
                <c:pt idx="0">
                  <c:v>Bondi Junction</c:v>
                </c:pt>
                <c:pt idx="1">
                  <c:v>Parramatta</c:v>
                </c:pt>
                <c:pt idx="2">
                  <c:v>Sydney CBD</c:v>
                </c:pt>
                <c:pt idx="3">
                  <c:v>Liverpool</c:v>
                </c:pt>
                <c:pt idx="4">
                  <c:v>Chatswood</c:v>
                </c:pt>
              </c:strCache>
            </c:strRef>
          </c:cat>
          <c:val>
            <c:numRef>
              <c:f>'Sales by Branch'!$B$4:$B$9</c:f>
              <c:numCache>
                <c:formatCode>General</c:formatCode>
                <c:ptCount val="5"/>
                <c:pt idx="0">
                  <c:v>1569.7199999999996</c:v>
                </c:pt>
                <c:pt idx="1">
                  <c:v>1401.1</c:v>
                </c:pt>
                <c:pt idx="2">
                  <c:v>1043.3400000000001</c:v>
                </c:pt>
                <c:pt idx="3">
                  <c:v>1005.59</c:v>
                </c:pt>
                <c:pt idx="4">
                  <c:v>971.3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7D-4B1A-9D8F-77BF75D29C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9040959"/>
        <c:axId val="769047679"/>
      </c:barChart>
      <c:catAx>
        <c:axId val="769040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Branch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404825737265416E-2"/>
              <c:y val="0.449472982543848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47679"/>
        <c:crosses val="autoZero"/>
        <c:auto val="1"/>
        <c:lblAlgn val="ctr"/>
        <c:lblOffset val="100"/>
        <c:noMultiLvlLbl val="0"/>
      </c:catAx>
      <c:valAx>
        <c:axId val="76904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/>
                  <a:t>Total Sales ($)</a:t>
                </a:r>
                <a:endParaRPr lang="en-US" sz="1200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4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Analyst Project.xlsx]Monthly Revenue Trend!PivotTable1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Monthly Revenue Trend (Jan–Mar)</a:t>
            </a:r>
            <a:endParaRPr lang="en-US"/>
          </a:p>
        </c:rich>
      </c:tx>
      <c:layout>
        <c:manualLayout>
          <c:xMode val="edge"/>
          <c:yMode val="edge"/>
          <c:x val="0.24161453776611261"/>
          <c:y val="1.11482720178372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341775992633101E-2"/>
          <c:y val="9.6058660984208663E-2"/>
          <c:w val="0.89939227069326788"/>
          <c:h val="0.71258730679498383"/>
        </c:manualLayout>
      </c:layout>
      <c:lineChart>
        <c:grouping val="stacked"/>
        <c:varyColors val="0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Revenue Trend'!$A$4:$A$7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Revenue Trend'!$B$4:$B$7</c:f>
              <c:numCache>
                <c:formatCode>General</c:formatCode>
                <c:ptCount val="3"/>
                <c:pt idx="0">
                  <c:v>1818.4999999999995</c:v>
                </c:pt>
                <c:pt idx="1">
                  <c:v>1880.8199999999995</c:v>
                </c:pt>
                <c:pt idx="2">
                  <c:v>2291.7299999999991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E-4AE2-B931-96F8ECCCAF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3628527"/>
        <c:axId val="643632367"/>
      </c:lineChart>
      <c:catAx>
        <c:axId val="643628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740541261338615"/>
              <c:y val="0.891365676064685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32367"/>
        <c:crosses val="autoZero"/>
        <c:auto val="1"/>
        <c:lblAlgn val="ctr"/>
        <c:lblOffset val="100"/>
        <c:noMultiLvlLbl val="0"/>
      </c:catAx>
      <c:valAx>
        <c:axId val="6436323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layout>
            <c:manualLayout>
              <c:xMode val="edge"/>
              <c:yMode val="edge"/>
              <c:x val="1.9707212224987641E-2"/>
              <c:y val="0.460215430991918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2852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Analyst Project.xlsx]Sales by Payment Method!PivotTable3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Payment Method</a:t>
            </a:r>
            <a:endParaRPr lang="en-US"/>
          </a:p>
        </c:rich>
      </c:tx>
      <c:layout>
        <c:manualLayout>
          <c:xMode val="edge"/>
          <c:yMode val="edge"/>
          <c:x val="0.18612147165814799"/>
          <c:y val="3.46020761245674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E8-4D12-9EA3-DCAEF477DD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Payment Method'!$A$4:$A$9</c:f>
              <c:strCache>
                <c:ptCount val="5"/>
                <c:pt idx="0">
                  <c:v>Card</c:v>
                </c:pt>
                <c:pt idx="1">
                  <c:v>Gift Card</c:v>
                </c:pt>
                <c:pt idx="2">
                  <c:v>Cash</c:v>
                </c:pt>
                <c:pt idx="3">
                  <c:v>Mobile Pay</c:v>
                </c:pt>
                <c:pt idx="4">
                  <c:v>Unknown</c:v>
                </c:pt>
              </c:strCache>
            </c:strRef>
          </c:cat>
          <c:val>
            <c:numRef>
              <c:f>'Sales by Payment Method'!$B$4:$B$9</c:f>
              <c:numCache>
                <c:formatCode>General</c:formatCode>
                <c:ptCount val="5"/>
                <c:pt idx="0">
                  <c:v>784.52999999999975</c:v>
                </c:pt>
                <c:pt idx="1">
                  <c:v>1158.7100000000003</c:v>
                </c:pt>
                <c:pt idx="2">
                  <c:v>1304.4499999999991</c:v>
                </c:pt>
                <c:pt idx="3">
                  <c:v>1312.3100000000006</c:v>
                </c:pt>
                <c:pt idx="4">
                  <c:v>1431.0499999999995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E8-4D12-9EA3-DCAEF477DD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0954719"/>
        <c:axId val="610960479"/>
      </c:barChart>
      <c:catAx>
        <c:axId val="610954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Payment Method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60479"/>
        <c:crosses val="autoZero"/>
        <c:auto val="1"/>
        <c:lblAlgn val="ctr"/>
        <c:lblOffset val="100"/>
        <c:noMultiLvlLbl val="0"/>
      </c:catAx>
      <c:valAx>
        <c:axId val="610960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Total Sales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5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Analyst Project.xlsx]Monthly Revenue Trend!PivotTable1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Monthly Revenue Trend (Jan–Mar)</a:t>
            </a:r>
            <a:endParaRPr lang="en-US"/>
          </a:p>
        </c:rich>
      </c:tx>
      <c:layout>
        <c:manualLayout>
          <c:xMode val="edge"/>
          <c:yMode val="edge"/>
          <c:x val="0.24161453776611261"/>
          <c:y val="1.11482720178372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341775992633101E-2"/>
          <c:y val="9.6058660984208663E-2"/>
          <c:w val="0.89939227069326788"/>
          <c:h val="0.71258730679498383"/>
        </c:manualLayout>
      </c:layout>
      <c:lineChart>
        <c:grouping val="stacked"/>
        <c:varyColors val="0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Revenue Trend'!$A$4:$A$7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'Monthly Revenue Trend'!$B$4:$B$7</c:f>
              <c:numCache>
                <c:formatCode>General</c:formatCode>
                <c:ptCount val="3"/>
                <c:pt idx="0">
                  <c:v>1818.4999999999995</c:v>
                </c:pt>
                <c:pt idx="1">
                  <c:v>1880.8199999999995</c:v>
                </c:pt>
                <c:pt idx="2">
                  <c:v>2291.7299999999991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A0-4603-9968-AA98C735E1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3628527"/>
        <c:axId val="643632367"/>
      </c:lineChart>
      <c:catAx>
        <c:axId val="643628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740541261338615"/>
              <c:y val="0.891365676064685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32367"/>
        <c:crosses val="autoZero"/>
        <c:auto val="1"/>
        <c:lblAlgn val="ctr"/>
        <c:lblOffset val="100"/>
        <c:noMultiLvlLbl val="0"/>
      </c:catAx>
      <c:valAx>
        <c:axId val="6436323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layout>
            <c:manualLayout>
              <c:xMode val="edge"/>
              <c:yMode val="edge"/>
              <c:x val="1.9707212224987641E-2"/>
              <c:y val="0.460215430991918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2852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Analyst Project.xlsx]Sales by Payment Method!PivotTable3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Payment Method</a:t>
            </a:r>
            <a:endParaRPr lang="en-US"/>
          </a:p>
        </c:rich>
      </c:tx>
      <c:layout>
        <c:manualLayout>
          <c:xMode val="edge"/>
          <c:yMode val="edge"/>
          <c:x val="0.18612147165814799"/>
          <c:y val="3.46020761245674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45-4699-8610-F671820B7C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Payment Method'!$A$4:$A$9</c:f>
              <c:strCache>
                <c:ptCount val="5"/>
                <c:pt idx="0">
                  <c:v>Card</c:v>
                </c:pt>
                <c:pt idx="1">
                  <c:v>Gift Card</c:v>
                </c:pt>
                <c:pt idx="2">
                  <c:v>Cash</c:v>
                </c:pt>
                <c:pt idx="3">
                  <c:v>Mobile Pay</c:v>
                </c:pt>
                <c:pt idx="4">
                  <c:v>Unknown</c:v>
                </c:pt>
              </c:strCache>
            </c:strRef>
          </c:cat>
          <c:val>
            <c:numRef>
              <c:f>'Sales by Payment Method'!$B$4:$B$9</c:f>
              <c:numCache>
                <c:formatCode>General</c:formatCode>
                <c:ptCount val="5"/>
                <c:pt idx="0">
                  <c:v>784.52999999999975</c:v>
                </c:pt>
                <c:pt idx="1">
                  <c:v>1158.7100000000003</c:v>
                </c:pt>
                <c:pt idx="2">
                  <c:v>1304.4499999999991</c:v>
                </c:pt>
                <c:pt idx="3">
                  <c:v>1312.3100000000006</c:v>
                </c:pt>
                <c:pt idx="4">
                  <c:v>1431.0499999999995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45-4699-8610-F671820B7C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0954719"/>
        <c:axId val="610960479"/>
      </c:barChart>
      <c:catAx>
        <c:axId val="610954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Payment Method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60479"/>
        <c:crosses val="autoZero"/>
        <c:auto val="1"/>
        <c:lblAlgn val="ctr"/>
        <c:lblOffset val="100"/>
        <c:noMultiLvlLbl val="0"/>
      </c:catAx>
      <c:valAx>
        <c:axId val="610960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Total Sales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5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Analyst Project.xlsx]Sales by Branch!PivotTable2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baseline="0"/>
              <a:t>Sales by Branch</a:t>
            </a:r>
            <a:endParaRPr lang="en-US" sz="1600" baseline="0"/>
          </a:p>
        </c:rich>
      </c:tx>
      <c:layout>
        <c:manualLayout>
          <c:xMode val="edge"/>
          <c:yMode val="edge"/>
          <c:x val="0.35960303889627737"/>
          <c:y val="3.60750360750360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Branch'!$B$3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E8-429E-B702-90DEC515B2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Branch'!$A$4:$A$9</c:f>
              <c:strCache>
                <c:ptCount val="5"/>
                <c:pt idx="0">
                  <c:v>Bondi Junction</c:v>
                </c:pt>
                <c:pt idx="1">
                  <c:v>Parramatta</c:v>
                </c:pt>
                <c:pt idx="2">
                  <c:v>Sydney CBD</c:v>
                </c:pt>
                <c:pt idx="3">
                  <c:v>Liverpool</c:v>
                </c:pt>
                <c:pt idx="4">
                  <c:v>Chatswood</c:v>
                </c:pt>
              </c:strCache>
            </c:strRef>
          </c:cat>
          <c:val>
            <c:numRef>
              <c:f>'Sales by Branch'!$B$4:$B$9</c:f>
              <c:numCache>
                <c:formatCode>General</c:formatCode>
                <c:ptCount val="5"/>
                <c:pt idx="0">
                  <c:v>1569.7199999999996</c:v>
                </c:pt>
                <c:pt idx="1">
                  <c:v>1401.1</c:v>
                </c:pt>
                <c:pt idx="2">
                  <c:v>1043.3400000000001</c:v>
                </c:pt>
                <c:pt idx="3">
                  <c:v>1005.59</c:v>
                </c:pt>
                <c:pt idx="4">
                  <c:v>971.3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8-429E-B702-90DEC515B2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9040959"/>
        <c:axId val="769047679"/>
      </c:barChart>
      <c:catAx>
        <c:axId val="769040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Branch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404825737265416E-2"/>
              <c:y val="0.449472982543848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47679"/>
        <c:crosses val="autoZero"/>
        <c:auto val="1"/>
        <c:lblAlgn val="ctr"/>
        <c:lblOffset val="100"/>
        <c:noMultiLvlLbl val="0"/>
      </c:catAx>
      <c:valAx>
        <c:axId val="76904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/>
                  <a:t>Total Sales ($)</a:t>
                </a:r>
                <a:endParaRPr lang="en-US" sz="1200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04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Analyst Project.xlsx]Sales by Order Channel!PivotTable1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Order Channel</a:t>
            </a:r>
          </a:p>
        </c:rich>
      </c:tx>
      <c:layout>
        <c:manualLayout>
          <c:xMode val="edge"/>
          <c:yMode val="edge"/>
          <c:x val="0.41438118824240183"/>
          <c:y val="2.6265520534861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Order Channel'!$B$3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73A-4183-8D35-59C7382F77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Order Channel'!$A$4:$A$7</c:f>
              <c:strCache>
                <c:ptCount val="3"/>
                <c:pt idx="0">
                  <c:v>Delivery</c:v>
                </c:pt>
                <c:pt idx="1">
                  <c:v>In-Store</c:v>
                </c:pt>
                <c:pt idx="2">
                  <c:v>Online</c:v>
                </c:pt>
              </c:strCache>
            </c:strRef>
          </c:cat>
          <c:val>
            <c:numRef>
              <c:f>'Sales by Order Channel'!$B$4:$B$7</c:f>
              <c:numCache>
                <c:formatCode>General</c:formatCode>
                <c:ptCount val="3"/>
                <c:pt idx="0">
                  <c:v>1620.049999999999</c:v>
                </c:pt>
                <c:pt idx="1">
                  <c:v>2167.1999999999994</c:v>
                </c:pt>
                <c:pt idx="2">
                  <c:v>2203.7999999999997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3A-4183-8D35-59C7382F77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28365215"/>
        <c:axId val="428365695"/>
      </c:barChart>
      <c:catAx>
        <c:axId val="4283652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65695"/>
        <c:crosses val="autoZero"/>
        <c:auto val="1"/>
        <c:lblAlgn val="ctr"/>
        <c:lblOffset val="100"/>
        <c:noMultiLvlLbl val="0"/>
      </c:catAx>
      <c:valAx>
        <c:axId val="428365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6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Analyst Project.xlsx]Sales by Product Category!PivotTable1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2EF-424A-9B6F-11EE563DF2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Product Category'!$A$4:$A$11</c:f>
              <c:strCache>
                <c:ptCount val="7"/>
                <c:pt idx="0">
                  <c:v>Retail Beans</c:v>
                </c:pt>
                <c:pt idx="1">
                  <c:v>Tea</c:v>
                </c:pt>
                <c:pt idx="2">
                  <c:v>Cold Coffee</c:v>
                </c:pt>
                <c:pt idx="3">
                  <c:v>Hot Coffee</c:v>
                </c:pt>
                <c:pt idx="4">
                  <c:v>Sandwich</c:v>
                </c:pt>
                <c:pt idx="5">
                  <c:v>Dessert</c:v>
                </c:pt>
                <c:pt idx="6">
                  <c:v>Pastry</c:v>
                </c:pt>
              </c:strCache>
            </c:strRef>
          </c:cat>
          <c:val>
            <c:numRef>
              <c:f>'Sales by Product Category'!$B$4:$B$11</c:f>
              <c:numCache>
                <c:formatCode>General</c:formatCode>
                <c:ptCount val="7"/>
                <c:pt idx="0">
                  <c:v>2554.4299999999989</c:v>
                </c:pt>
                <c:pt idx="1">
                  <c:v>710.15</c:v>
                </c:pt>
                <c:pt idx="2">
                  <c:v>611.98999999999978</c:v>
                </c:pt>
                <c:pt idx="3">
                  <c:v>595.6099999999999</c:v>
                </c:pt>
                <c:pt idx="4">
                  <c:v>595.07000000000005</c:v>
                </c:pt>
                <c:pt idx="5">
                  <c:v>580.88</c:v>
                </c:pt>
                <c:pt idx="6">
                  <c:v>342.92000000000007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EF-424A-9B6F-11EE563DF2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64090368"/>
        <c:axId val="1664089888"/>
      </c:barChart>
      <c:catAx>
        <c:axId val="166409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Category</a:t>
                </a:r>
              </a:p>
            </c:rich>
          </c:tx>
          <c:layout>
            <c:manualLayout>
              <c:xMode val="edge"/>
              <c:yMode val="edge"/>
              <c:x val="0.48582424631173832"/>
              <c:y val="0.949530929845890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089888"/>
        <c:crosses val="autoZero"/>
        <c:auto val="1"/>
        <c:lblAlgn val="ctr"/>
        <c:lblOffset val="100"/>
        <c:noMultiLvlLbl val="0"/>
      </c:catAx>
      <c:valAx>
        <c:axId val="16640898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09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21</xdr:col>
      <xdr:colOff>175260</xdr:colOff>
      <xdr:row>30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A166D4-5119-4CD8-B034-B48301FD4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21</xdr:col>
      <xdr:colOff>388620</xdr:colOff>
      <xdr:row>29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4E7B3E-FC56-4694-B32F-E98F9F3DF3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21</xdr:col>
      <xdr:colOff>30480</xdr:colOff>
      <xdr:row>29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A32600-FBDC-4BE1-BD52-15847D400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0</xdr:row>
      <xdr:rowOff>137160</xdr:rowOff>
    </xdr:from>
    <xdr:to>
      <xdr:col>21</xdr:col>
      <xdr:colOff>304800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5D6FB1-E419-43C7-92CC-BD549D586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0.30234</cdr:x>
      <cdr:y>0.9703</cdr:y>
    </cdr:from>
    <cdr:to>
      <cdr:x>0.89572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6011B9-BB13-E118-84CE-5EE849E39B7D}"/>
            </a:ext>
          </a:extLst>
        </cdr:cNvPr>
        <cdr:cNvSpPr txBox="1"/>
      </cdr:nvSpPr>
      <cdr:spPr>
        <a:xfrm xmlns:a="http://schemas.openxmlformats.org/drawingml/2006/main">
          <a:off x="2849880" y="4480560"/>
          <a:ext cx="5593080" cy="137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0.1447</cdr:x>
      <cdr:y>0.93056</cdr:y>
    </cdr:from>
    <cdr:to>
      <cdr:x>0.89086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876E009-A8CC-0DF1-63BB-300AE20E6D60}"/>
            </a:ext>
          </a:extLst>
        </cdr:cNvPr>
        <cdr:cNvSpPr txBox="1"/>
      </cdr:nvSpPr>
      <cdr:spPr>
        <a:xfrm xmlns:a="http://schemas.openxmlformats.org/drawingml/2006/main">
          <a:off x="1363980" y="5105400"/>
          <a:ext cx="703326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2</xdr:row>
      <xdr:rowOff>0</xdr:rowOff>
    </xdr:from>
    <xdr:to>
      <xdr:col>21</xdr:col>
      <xdr:colOff>243840</xdr:colOff>
      <xdr:row>30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182EE6-C6AB-4914-A802-ADB78F601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22</xdr:row>
      <xdr:rowOff>167640</xdr:rowOff>
    </xdr:from>
    <xdr:to>
      <xdr:col>20</xdr:col>
      <xdr:colOff>30480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D83E5-D6AC-48B5-846A-CA44BEB12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7620</xdr:rowOff>
    </xdr:from>
    <xdr:to>
      <xdr:col>9</xdr:col>
      <xdr:colOff>594360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1B7DDE-843E-4534-B529-639E496E6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15240</xdr:colOff>
      <xdr:row>1</xdr:row>
      <xdr:rowOff>175260</xdr:rowOff>
    </xdr:from>
    <xdr:to>
      <xdr:col>20</xdr:col>
      <xdr:colOff>0</xdr:colOff>
      <xdr:row>11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6EB0BB-52BA-4DDD-AF9E-8C6B8E09C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7620</xdr:colOff>
      <xdr:row>13</xdr:row>
      <xdr:rowOff>7620</xdr:rowOff>
    </xdr:from>
    <xdr:to>
      <xdr:col>19</xdr:col>
      <xdr:colOff>601980</xdr:colOff>
      <xdr:row>22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D832F6-B442-4D8D-B3EA-ED58ED0BC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</xdr:colOff>
      <xdr:row>1</xdr:row>
      <xdr:rowOff>152400</xdr:rowOff>
    </xdr:from>
    <xdr:to>
      <xdr:col>10</xdr:col>
      <xdr:colOff>15240</xdr:colOff>
      <xdr:row>11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474F84-77C8-4508-9E6C-09C4037F0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8</xdr:col>
      <xdr:colOff>91440</xdr:colOff>
      <xdr:row>0</xdr:row>
      <xdr:rowOff>0</xdr:rowOff>
    </xdr:from>
    <xdr:ext cx="3337560" cy="41148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A6C4AFD-989F-1286-A508-4E0D4EB44016}"/>
            </a:ext>
          </a:extLst>
        </xdr:cNvPr>
        <xdr:cNvSpPr txBox="1"/>
      </xdr:nvSpPr>
      <xdr:spPr>
        <a:xfrm>
          <a:off x="4968240" y="0"/>
          <a:ext cx="3337560" cy="4114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 b="1"/>
            <a:t>Coffee Sales Dashboard</a:t>
          </a:r>
        </a:p>
      </xdr:txBody>
    </xdr:sp>
    <xdr:clientData/>
  </xdr:oneCellAnchor>
  <xdr:twoCellAnchor>
    <xdr:from>
      <xdr:col>19</xdr:col>
      <xdr:colOff>594360</xdr:colOff>
      <xdr:row>0</xdr:row>
      <xdr:rowOff>175260</xdr:rowOff>
    </xdr:from>
    <xdr:to>
      <xdr:col>22</xdr:col>
      <xdr:colOff>53340</xdr:colOff>
      <xdr:row>4</xdr:row>
      <xdr:rowOff>167640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251C1C6-C0F5-98CB-3377-64879B5E86AC}"/>
            </a:ext>
          </a:extLst>
        </xdr:cNvPr>
        <xdr:cNvSpPr/>
      </xdr:nvSpPr>
      <xdr:spPr>
        <a:xfrm>
          <a:off x="12176760" y="175260"/>
          <a:ext cx="1760220" cy="7239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0.30234</cdr:x>
      <cdr:y>0.9703</cdr:y>
    </cdr:from>
    <cdr:to>
      <cdr:x>0.89572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6011B9-BB13-E118-84CE-5EE849E39B7D}"/>
            </a:ext>
          </a:extLst>
        </cdr:cNvPr>
        <cdr:cNvSpPr txBox="1"/>
      </cdr:nvSpPr>
      <cdr:spPr>
        <a:xfrm xmlns:a="http://schemas.openxmlformats.org/drawingml/2006/main">
          <a:off x="2849880" y="4480560"/>
          <a:ext cx="5593080" cy="137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0.1447</cdr:x>
      <cdr:y>0.93056</cdr:y>
    </cdr:from>
    <cdr:to>
      <cdr:x>0.89086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876E009-A8CC-0DF1-63BB-300AE20E6D60}"/>
            </a:ext>
          </a:extLst>
        </cdr:cNvPr>
        <cdr:cNvSpPr txBox="1"/>
      </cdr:nvSpPr>
      <cdr:spPr>
        <a:xfrm xmlns:a="http://schemas.openxmlformats.org/drawingml/2006/main">
          <a:off x="1363980" y="5105400"/>
          <a:ext cx="703326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nkar raut" refreshedDate="46142.926330555558" createdVersion="8" refreshedVersion="8" minRefreshableVersion="3" recordCount="300" xr:uid="{D29E5E0B-90E8-4A99-B262-0E46A1B8E3B0}">
  <cacheSource type="worksheet">
    <worksheetSource ref="A1:U301" sheet="Sales Raw Data"/>
  </cacheSource>
  <cacheFields count="21">
    <cacheField name="Order_ID" numFmtId="0">
      <sharedItems containsSemiMixedTypes="0" containsString="0" containsNumber="1" containsInteger="1" minValue="1001" maxValue="1300"/>
    </cacheField>
    <cacheField name="Order_Date" numFmtId="14">
      <sharedItems containsSemiMixedTypes="0" containsNonDate="0" containsDate="1" containsString="0" minDate="2026-01-01T00:00:00" maxDate="2026-04-01T00:00:00"/>
    </cacheField>
    <cacheField name="Month" numFmtId="0">
      <sharedItems count="3">
        <s v="Mar"/>
        <s v="Feb"/>
        <s v="Jan"/>
      </sharedItems>
    </cacheField>
    <cacheField name="Branch" numFmtId="0">
      <sharedItems count="5">
        <s v="Sydney CBD"/>
        <s v="Bondi Junction"/>
        <s v="Chatswood"/>
        <s v="Liverpool"/>
        <s v="Parramatta"/>
      </sharedItems>
    </cacheField>
    <cacheField name="City" numFmtId="0">
      <sharedItems/>
    </cacheField>
    <cacheField name="Barista_Name" numFmtId="0">
      <sharedItems/>
    </cacheField>
    <cacheField name="Customer_ID" numFmtId="0">
      <sharedItems/>
    </cacheField>
    <cacheField name="Customer_Type" numFmtId="0">
      <sharedItems/>
    </cacheField>
    <cacheField name="Product_Category" numFmtId="0">
      <sharedItems count="7">
        <s v="Hot Coffee"/>
        <s v="Retail Beans"/>
        <s v="Tea"/>
        <s v="Cold Coffee"/>
        <s v="Sandwich"/>
        <s v="Pastry"/>
        <s v="Dessert"/>
      </sharedItems>
    </cacheField>
    <cacheField name="Product_Name" numFmtId="0">
      <sharedItems/>
    </cacheField>
    <cacheField name="Size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minValue="3.72" maxValue="18.579999999999998"/>
    </cacheField>
    <cacheField name="Discount_%" numFmtId="0">
      <sharedItems containsSemiMixedTypes="0" containsString="0" containsNumber="1" containsInteger="1" minValue="0" maxValue="10"/>
    </cacheField>
    <cacheField name="Total_Sales" numFmtId="0">
      <sharedItems containsSemiMixedTypes="0" containsString="0" containsNumber="1" minValue="3.8" maxValue="73.599999999999994"/>
    </cacheField>
    <cacheField name="Payment_Method" numFmtId="0">
      <sharedItems count="5">
        <s v="Cash"/>
        <s v="Gift Card"/>
        <s v="Unknown"/>
        <s v="Card"/>
        <s v="Mobile Pay"/>
      </sharedItems>
    </cacheField>
    <cacheField name="Order_Channel" numFmtId="0">
      <sharedItems count="3">
        <s v="In-Store"/>
        <s v="Online"/>
        <s v="Delivery"/>
      </sharedItems>
    </cacheField>
    <cacheField name="Loyalty_Member" numFmtId="0">
      <sharedItems/>
    </cacheField>
    <cacheField name="Stock_Status" numFmtId="0">
      <sharedItems/>
    </cacheField>
    <cacheField name="Customer_Rating" numFmtId="0">
      <sharedItems containsSemiMixedTypes="0" containsString="0" containsNumber="1" containsInteger="1" minValue="3" maxValue="5"/>
    </cacheField>
    <cacheField name="Returned_Ord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01"/>
    <d v="2026-03-23T00:00:00"/>
    <x v="0"/>
    <x v="0"/>
    <s v="Sydney"/>
    <s v="Sam"/>
    <s v="C175"/>
    <s v="Returning"/>
    <x v="0"/>
    <s v="Flat White"/>
    <s v="S"/>
    <n v="2"/>
    <n v="4.83"/>
    <n v="0"/>
    <n v="9.66"/>
    <x v="0"/>
    <x v="0"/>
    <s v="Yes"/>
    <s v="Available"/>
    <n v="3"/>
    <s v="No"/>
  </r>
  <r>
    <n v="1002"/>
    <d v="2026-03-06T00:00:00"/>
    <x v="0"/>
    <x v="1"/>
    <s v="Sydney"/>
    <s v="Alex"/>
    <s v="C197"/>
    <s v="New"/>
    <x v="0"/>
    <s v="Espresso"/>
    <s v="S"/>
    <n v="4"/>
    <n v="4.9000000000000004"/>
    <n v="10"/>
    <n v="17.64"/>
    <x v="1"/>
    <x v="1"/>
    <s v="No"/>
    <s v="Available"/>
    <n v="5"/>
    <s v="No"/>
  </r>
  <r>
    <n v="1003"/>
    <d v="2026-02-13T00:00:00"/>
    <x v="1"/>
    <x v="0"/>
    <s v="Sydney"/>
    <s v="Alex"/>
    <s v="C193"/>
    <s v="Returning"/>
    <x v="0"/>
    <s v="Mocha"/>
    <s v="S"/>
    <n v="3"/>
    <n v="5.46"/>
    <n v="10"/>
    <n v="14.74"/>
    <x v="2"/>
    <x v="0"/>
    <s v="No"/>
    <s v="Available"/>
    <n v="5"/>
    <s v="No"/>
  </r>
  <r>
    <n v="1004"/>
    <d v="2026-03-22T00:00:00"/>
    <x v="0"/>
    <x v="1"/>
    <s v="Sydney"/>
    <s v="Taylor"/>
    <s v="C110"/>
    <s v="New"/>
    <x v="1"/>
    <s v="Ground Coffee 500g"/>
    <s v="N/A"/>
    <n v="2"/>
    <n v="18.329999999999998"/>
    <n v="0"/>
    <n v="36.659999999999997"/>
    <x v="0"/>
    <x v="1"/>
    <s v="No"/>
    <s v="Low Stock"/>
    <n v="4"/>
    <s v="No"/>
  </r>
  <r>
    <n v="1005"/>
    <d v="2026-01-21T00:00:00"/>
    <x v="2"/>
    <x v="2"/>
    <s v="Sydney"/>
    <s v="Priya"/>
    <s v="C168"/>
    <s v="Corporate"/>
    <x v="2"/>
    <s v="Green Tea"/>
    <s v="L"/>
    <n v="3"/>
    <n v="6.23"/>
    <n v="0"/>
    <n v="18.690000000000001"/>
    <x v="3"/>
    <x v="0"/>
    <s v="No"/>
    <s v="Low Stock"/>
    <n v="3"/>
    <s v="No"/>
  </r>
  <r>
    <n v="1006"/>
    <d v="2026-03-23T00:00:00"/>
    <x v="0"/>
    <x v="1"/>
    <s v="Sydney"/>
    <s v="Mia"/>
    <s v="C134"/>
    <s v="New"/>
    <x v="3"/>
    <s v="Frappa"/>
    <s v="M"/>
    <n v="1"/>
    <n v="6.61"/>
    <n v="0"/>
    <n v="6.61"/>
    <x v="3"/>
    <x v="2"/>
    <s v="No"/>
    <s v="Available"/>
    <n v="5"/>
    <s v="Yes"/>
  </r>
  <r>
    <n v="1007"/>
    <d v="2026-02-20T00:00:00"/>
    <x v="1"/>
    <x v="3"/>
    <s v="Sydney"/>
    <s v="Mia"/>
    <s v="C214"/>
    <s v="Corporate"/>
    <x v="3"/>
    <s v="Cold Brew"/>
    <s v="S"/>
    <n v="2"/>
    <n v="6.37"/>
    <n v="10"/>
    <n v="11.47"/>
    <x v="1"/>
    <x v="1"/>
    <s v="Yes"/>
    <s v="Available"/>
    <n v="5"/>
    <s v="Yes"/>
  </r>
  <r>
    <n v="1008"/>
    <d v="2026-01-12T00:00:00"/>
    <x v="2"/>
    <x v="0"/>
    <s v="Sydney"/>
    <s v="Sam"/>
    <s v="C149"/>
    <s v="Returning"/>
    <x v="1"/>
    <s v="Coffee Beans 1kg"/>
    <s v="N/A"/>
    <n v="2"/>
    <n v="18.260000000000002"/>
    <n v="5"/>
    <n v="34.69"/>
    <x v="2"/>
    <x v="1"/>
    <s v="No"/>
    <s v="Available"/>
    <n v="3"/>
    <s v="No"/>
  </r>
  <r>
    <n v="1009"/>
    <d v="2026-03-29T00:00:00"/>
    <x v="0"/>
    <x v="1"/>
    <s v="Sydney"/>
    <s v="Noah"/>
    <s v="C100"/>
    <s v="Corporate"/>
    <x v="1"/>
    <s v="Ground Coffee 500g"/>
    <s v="N/A"/>
    <n v="3"/>
    <n v="17.8"/>
    <n v="5"/>
    <n v="50.73"/>
    <x v="4"/>
    <x v="2"/>
    <s v="Yes"/>
    <s v="Available"/>
    <n v="4"/>
    <s v="No"/>
  </r>
  <r>
    <n v="1010"/>
    <d v="2026-03-23T00:00:00"/>
    <x v="0"/>
    <x v="1"/>
    <s v="Sydney"/>
    <s v="Alex"/>
    <s v="C176"/>
    <s v="Returning"/>
    <x v="4"/>
    <s v="Chicken Sandwich"/>
    <s v="N/A"/>
    <n v="2"/>
    <n v="8.0399999999999991"/>
    <n v="0"/>
    <n v="16.079999999999998"/>
    <x v="1"/>
    <x v="0"/>
    <s v="Yes"/>
    <s v="Low Stock"/>
    <n v="3"/>
    <s v="No"/>
  </r>
  <r>
    <n v="1011"/>
    <d v="2026-01-31T00:00:00"/>
    <x v="2"/>
    <x v="0"/>
    <s v="Sydney"/>
    <s v="Priya"/>
    <s v="C116"/>
    <s v="Corporate"/>
    <x v="3"/>
    <s v="Frappa"/>
    <s v="S"/>
    <n v="1"/>
    <n v="6.36"/>
    <n v="0"/>
    <n v="6.36"/>
    <x v="1"/>
    <x v="2"/>
    <s v="Yes"/>
    <s v="Low Stock"/>
    <n v="3"/>
    <s v="Yes"/>
  </r>
  <r>
    <n v="1012"/>
    <d v="2026-01-28T00:00:00"/>
    <x v="2"/>
    <x v="1"/>
    <s v="Sydney"/>
    <s v="Noah"/>
    <s v="C115"/>
    <s v="New"/>
    <x v="1"/>
    <s v="Coffee Beans 1kg"/>
    <s v="N/A"/>
    <n v="3"/>
    <n v="18.059999999999999"/>
    <n v="0"/>
    <n v="54.18"/>
    <x v="3"/>
    <x v="0"/>
    <s v="No"/>
    <s v="Available"/>
    <n v="3"/>
    <s v="No"/>
  </r>
  <r>
    <n v="1013"/>
    <d v="2026-03-17T00:00:00"/>
    <x v="0"/>
    <x v="4"/>
    <s v="Sydney"/>
    <s v="Sam"/>
    <s v="C165"/>
    <s v="New"/>
    <x v="0"/>
    <s v="Latte"/>
    <s v="L"/>
    <n v="1"/>
    <n v="6.31"/>
    <n v="0"/>
    <n v="6.31"/>
    <x v="4"/>
    <x v="2"/>
    <s v="No"/>
    <s v="Available"/>
    <n v="5"/>
    <s v="No"/>
  </r>
  <r>
    <n v="1014"/>
    <d v="2026-03-15T00:00:00"/>
    <x v="0"/>
    <x v="1"/>
    <s v="Sydney"/>
    <s v="Sam"/>
    <s v="C184"/>
    <s v="Returning"/>
    <x v="5"/>
    <s v="Croissant"/>
    <s v="N/A"/>
    <n v="4"/>
    <n v="4.43"/>
    <n v="0"/>
    <n v="17.72"/>
    <x v="4"/>
    <x v="1"/>
    <s v="No"/>
    <s v="Low Stock"/>
    <n v="3"/>
    <s v="No"/>
  </r>
  <r>
    <n v="1015"/>
    <d v="2026-03-28T00:00:00"/>
    <x v="0"/>
    <x v="0"/>
    <s v="Sydney"/>
    <s v="Jordan"/>
    <s v="C124"/>
    <s v="Corporate"/>
    <x v="0"/>
    <s v="Mocha"/>
    <s v="L"/>
    <n v="3"/>
    <n v="6.82"/>
    <n v="0"/>
    <n v="20.46"/>
    <x v="1"/>
    <x v="0"/>
    <s v="No"/>
    <s v="Available"/>
    <n v="4"/>
    <s v="No"/>
  </r>
  <r>
    <n v="1016"/>
    <d v="2026-03-01T00:00:00"/>
    <x v="0"/>
    <x v="4"/>
    <s v="Sydney"/>
    <s v="Alex"/>
    <s v="C183"/>
    <s v="Corporate"/>
    <x v="1"/>
    <s v="Coffee Beans 1kg"/>
    <s v="N/A"/>
    <n v="4"/>
    <n v="18.43"/>
    <n v="10"/>
    <n v="66.349999999999994"/>
    <x v="0"/>
    <x v="0"/>
    <s v="Yes"/>
    <s v="Available"/>
    <n v="3"/>
    <s v="Yes"/>
  </r>
  <r>
    <n v="1017"/>
    <d v="2026-03-04T00:00:00"/>
    <x v="0"/>
    <x v="3"/>
    <s v="Sydney"/>
    <s v="Noah"/>
    <s v="C136"/>
    <s v="Returning"/>
    <x v="3"/>
    <s v="Cold Brew"/>
    <s v="S"/>
    <n v="2"/>
    <n v="6.04"/>
    <n v="5"/>
    <n v="11.48"/>
    <x v="2"/>
    <x v="2"/>
    <s v="No"/>
    <s v="Available"/>
    <n v="5"/>
    <s v="No"/>
  </r>
  <r>
    <n v="1018"/>
    <d v="2026-02-07T00:00:00"/>
    <x v="1"/>
    <x v="4"/>
    <s v="Sydney"/>
    <s v="Noah"/>
    <s v="C164"/>
    <s v="Corporate"/>
    <x v="0"/>
    <s v="Espresso"/>
    <s v="L"/>
    <n v="1"/>
    <n v="6.77"/>
    <n v="0"/>
    <n v="6.77"/>
    <x v="3"/>
    <x v="0"/>
    <s v="Yes"/>
    <s v="Available"/>
    <n v="3"/>
    <s v="No"/>
  </r>
  <r>
    <n v="1019"/>
    <d v="2026-03-18T00:00:00"/>
    <x v="0"/>
    <x v="0"/>
    <s v="Sydney"/>
    <s v="Alex"/>
    <s v="C179"/>
    <s v="New"/>
    <x v="6"/>
    <s v="Brownie"/>
    <s v="N/A"/>
    <n v="4"/>
    <n v="4.8099999999999996"/>
    <n v="10"/>
    <n v="17.32"/>
    <x v="1"/>
    <x v="2"/>
    <s v="No"/>
    <s v="Low Stock"/>
    <n v="4"/>
    <s v="No"/>
  </r>
  <r>
    <n v="1020"/>
    <d v="2026-03-27T00:00:00"/>
    <x v="0"/>
    <x v="2"/>
    <s v="Sydney"/>
    <s v="Chris"/>
    <s v="C218"/>
    <s v="New"/>
    <x v="3"/>
    <s v="Cold Brew"/>
    <s v="M"/>
    <n v="2"/>
    <n v="7"/>
    <n v="0"/>
    <n v="14"/>
    <x v="0"/>
    <x v="1"/>
    <s v="Yes"/>
    <s v="Available"/>
    <n v="3"/>
    <s v="No"/>
  </r>
  <r>
    <n v="1021"/>
    <d v="2026-03-06T00:00:00"/>
    <x v="0"/>
    <x v="2"/>
    <s v="Sydney"/>
    <s v="Taylor"/>
    <s v="C178"/>
    <s v="Corporate"/>
    <x v="3"/>
    <s v="Cold Brew"/>
    <s v="S"/>
    <n v="2"/>
    <n v="6.03"/>
    <n v="0"/>
    <n v="12.06"/>
    <x v="2"/>
    <x v="0"/>
    <s v="No"/>
    <s v="Available"/>
    <n v="3"/>
    <s v="No"/>
  </r>
  <r>
    <n v="1022"/>
    <d v="2026-02-03T00:00:00"/>
    <x v="1"/>
    <x v="0"/>
    <s v="Sydney"/>
    <s v="Jordan"/>
    <s v="C187"/>
    <s v="Corporate"/>
    <x v="0"/>
    <s v="Espresso"/>
    <s v="S"/>
    <n v="3"/>
    <n v="4.95"/>
    <n v="0"/>
    <n v="14.85"/>
    <x v="4"/>
    <x v="2"/>
    <s v="No"/>
    <s v="Low Stock"/>
    <n v="5"/>
    <s v="No"/>
  </r>
  <r>
    <n v="1023"/>
    <d v="2026-01-12T00:00:00"/>
    <x v="2"/>
    <x v="3"/>
    <s v="Sydney"/>
    <s v="Priya"/>
    <s v="C194"/>
    <s v="Returning"/>
    <x v="1"/>
    <s v="Ground Coffee 500g"/>
    <s v="N/A"/>
    <n v="1"/>
    <n v="17.7"/>
    <n v="0"/>
    <n v="17.7"/>
    <x v="2"/>
    <x v="2"/>
    <s v="No"/>
    <s v="Available"/>
    <n v="5"/>
    <s v="No"/>
  </r>
  <r>
    <n v="1024"/>
    <d v="2026-01-10T00:00:00"/>
    <x v="2"/>
    <x v="4"/>
    <s v="Sydney"/>
    <s v="Priya"/>
    <s v="C105"/>
    <s v="Returning"/>
    <x v="4"/>
    <s v="Chicken Sandwich"/>
    <s v="N/A"/>
    <n v="3"/>
    <n v="8.2200000000000006"/>
    <n v="0"/>
    <n v="24.66"/>
    <x v="4"/>
    <x v="0"/>
    <s v="No"/>
    <s v="Available"/>
    <n v="3"/>
    <s v="No"/>
  </r>
  <r>
    <n v="1025"/>
    <d v="2026-03-27T00:00:00"/>
    <x v="0"/>
    <x v="0"/>
    <s v="Sydney"/>
    <s v="Priya"/>
    <s v="C212"/>
    <s v="Returning"/>
    <x v="2"/>
    <s v="English Breakfast"/>
    <s v="M"/>
    <n v="2"/>
    <n v="5.73"/>
    <n v="0"/>
    <n v="11.46"/>
    <x v="0"/>
    <x v="0"/>
    <s v="No"/>
    <s v="Low Stock"/>
    <n v="4"/>
    <s v="No"/>
  </r>
  <r>
    <n v="1026"/>
    <d v="2026-02-04T00:00:00"/>
    <x v="1"/>
    <x v="4"/>
    <s v="Sydney"/>
    <s v="Jordan"/>
    <s v="C204"/>
    <s v="Returning"/>
    <x v="1"/>
    <s v="Coffee Beans 1kg"/>
    <s v="N/A"/>
    <n v="4"/>
    <n v="18.48"/>
    <n v="5"/>
    <n v="70.22"/>
    <x v="4"/>
    <x v="1"/>
    <s v="Yes"/>
    <s v="Available"/>
    <n v="4"/>
    <s v="No"/>
  </r>
  <r>
    <n v="1027"/>
    <d v="2026-03-26T00:00:00"/>
    <x v="0"/>
    <x v="4"/>
    <s v="Sydney"/>
    <s v="Mia"/>
    <s v="C186"/>
    <s v="Corporate"/>
    <x v="5"/>
    <s v="Blueberry Muffin"/>
    <s v="N/A"/>
    <n v="3"/>
    <n v="4.4800000000000004"/>
    <n v="0"/>
    <n v="13.44"/>
    <x v="4"/>
    <x v="0"/>
    <s v="Yes"/>
    <s v="Low Stock"/>
    <n v="5"/>
    <s v="No"/>
  </r>
  <r>
    <n v="1028"/>
    <d v="2026-03-16T00:00:00"/>
    <x v="0"/>
    <x v="2"/>
    <s v="Sydney"/>
    <s v="Sam"/>
    <s v="C149"/>
    <s v="Corporate"/>
    <x v="0"/>
    <s v="Latte"/>
    <s v="L"/>
    <n v="4"/>
    <n v="6.41"/>
    <n v="0"/>
    <n v="25.64"/>
    <x v="3"/>
    <x v="1"/>
    <s v="Yes"/>
    <s v="Low Stock"/>
    <n v="3"/>
    <s v="No"/>
  </r>
  <r>
    <n v="1029"/>
    <d v="2026-03-08T00:00:00"/>
    <x v="0"/>
    <x v="1"/>
    <s v="Sydney"/>
    <s v="Chris"/>
    <s v="C184"/>
    <s v="New"/>
    <x v="6"/>
    <s v="Brownie"/>
    <s v="N/A"/>
    <n v="3"/>
    <n v="5.09"/>
    <n v="0"/>
    <n v="15.27"/>
    <x v="4"/>
    <x v="2"/>
    <s v="No"/>
    <s v="Low Stock"/>
    <n v="3"/>
    <s v="No"/>
  </r>
  <r>
    <n v="1030"/>
    <d v="2026-02-21T00:00:00"/>
    <x v="1"/>
    <x v="2"/>
    <s v="Sydney"/>
    <s v="Taylor"/>
    <s v="C151"/>
    <s v="Corporate"/>
    <x v="4"/>
    <s v="Chicken Sandwich"/>
    <s v="N/A"/>
    <n v="2"/>
    <n v="8.08"/>
    <n v="5"/>
    <n v="15.35"/>
    <x v="0"/>
    <x v="1"/>
    <s v="No"/>
    <s v="Available"/>
    <n v="4"/>
    <s v="Yes"/>
  </r>
  <r>
    <n v="1031"/>
    <d v="2026-03-16T00:00:00"/>
    <x v="0"/>
    <x v="1"/>
    <s v="Sydney"/>
    <s v="Noah"/>
    <s v="C201"/>
    <s v="Corporate"/>
    <x v="6"/>
    <s v="Cheesecake Slice"/>
    <s v="N/A"/>
    <n v="4"/>
    <n v="5.0999999999999996"/>
    <n v="0"/>
    <n v="20.399999999999999"/>
    <x v="3"/>
    <x v="2"/>
    <s v="Yes"/>
    <s v="Low Stock"/>
    <n v="3"/>
    <s v="No"/>
  </r>
  <r>
    <n v="1032"/>
    <d v="2026-01-12T00:00:00"/>
    <x v="2"/>
    <x v="4"/>
    <s v="Sydney"/>
    <s v="Alex"/>
    <s v="C131"/>
    <s v="Returning"/>
    <x v="6"/>
    <s v="Cheesecake Slice"/>
    <s v="N/A"/>
    <n v="2"/>
    <n v="5.43"/>
    <n v="0"/>
    <n v="10.86"/>
    <x v="2"/>
    <x v="0"/>
    <s v="No"/>
    <s v="Low Stock"/>
    <n v="3"/>
    <s v="No"/>
  </r>
  <r>
    <n v="1033"/>
    <d v="2026-03-31T00:00:00"/>
    <x v="0"/>
    <x v="3"/>
    <s v="Sydney"/>
    <s v="Mia"/>
    <s v="C128"/>
    <s v="New"/>
    <x v="5"/>
    <s v="Blueberry Muffin"/>
    <s v="N/A"/>
    <n v="2"/>
    <n v="3.83"/>
    <n v="0"/>
    <n v="7.66"/>
    <x v="2"/>
    <x v="1"/>
    <s v="Yes"/>
    <s v="Available"/>
    <n v="3"/>
    <s v="No"/>
  </r>
  <r>
    <n v="1034"/>
    <d v="2026-02-28T00:00:00"/>
    <x v="1"/>
    <x v="4"/>
    <s v="Sydney"/>
    <s v="Mia"/>
    <s v="C206"/>
    <s v="Corporate"/>
    <x v="1"/>
    <s v="Ground Coffee 500g"/>
    <s v="N/A"/>
    <n v="3"/>
    <n v="18.559999999999999"/>
    <n v="5"/>
    <n v="52.9"/>
    <x v="1"/>
    <x v="0"/>
    <s v="No"/>
    <s v="Low Stock"/>
    <n v="3"/>
    <s v="No"/>
  </r>
  <r>
    <n v="1035"/>
    <d v="2026-02-01T00:00:00"/>
    <x v="1"/>
    <x v="2"/>
    <s v="Sydney"/>
    <s v="Jordan"/>
    <s v="C134"/>
    <s v="Returning"/>
    <x v="1"/>
    <s v="Ground Coffee 500g"/>
    <s v="N/A"/>
    <n v="2"/>
    <n v="17.95"/>
    <n v="0"/>
    <n v="35.9"/>
    <x v="4"/>
    <x v="2"/>
    <s v="Yes"/>
    <s v="Available"/>
    <n v="5"/>
    <s v="No"/>
  </r>
  <r>
    <n v="1036"/>
    <d v="2026-01-30T00:00:00"/>
    <x v="2"/>
    <x v="3"/>
    <s v="Sydney"/>
    <s v="Noah"/>
    <s v="C153"/>
    <s v="New"/>
    <x v="6"/>
    <s v="Brownie"/>
    <s v="N/A"/>
    <n v="2"/>
    <n v="4.76"/>
    <n v="5"/>
    <n v="9.0399999999999991"/>
    <x v="3"/>
    <x v="1"/>
    <s v="No"/>
    <s v="Available"/>
    <n v="5"/>
    <s v="Yes"/>
  </r>
  <r>
    <n v="1037"/>
    <d v="2026-03-03T00:00:00"/>
    <x v="0"/>
    <x v="0"/>
    <s v="Sydney"/>
    <s v="Jordan"/>
    <s v="C162"/>
    <s v="New"/>
    <x v="2"/>
    <s v="Chai Latte"/>
    <s v="M"/>
    <n v="4"/>
    <n v="5.38"/>
    <n v="10"/>
    <n v="19.37"/>
    <x v="4"/>
    <x v="1"/>
    <s v="No"/>
    <s v="Available"/>
    <n v="3"/>
    <s v="Yes"/>
  </r>
  <r>
    <n v="1038"/>
    <d v="2026-02-13T00:00:00"/>
    <x v="1"/>
    <x v="3"/>
    <s v="Sydney"/>
    <s v="Alex"/>
    <s v="C216"/>
    <s v="Returning"/>
    <x v="6"/>
    <s v="Brownie"/>
    <s v="N/A"/>
    <n v="4"/>
    <n v="5.53"/>
    <n v="10"/>
    <n v="19.91"/>
    <x v="2"/>
    <x v="2"/>
    <s v="Yes"/>
    <s v="Available"/>
    <n v="3"/>
    <s v="Yes"/>
  </r>
  <r>
    <n v="1039"/>
    <d v="2026-01-18T00:00:00"/>
    <x v="2"/>
    <x v="3"/>
    <s v="Sydney"/>
    <s v="Chris"/>
    <s v="C197"/>
    <s v="Returning"/>
    <x v="3"/>
    <s v="Iced Latte"/>
    <s v="M"/>
    <n v="4"/>
    <n v="6.69"/>
    <n v="5"/>
    <n v="25.42"/>
    <x v="4"/>
    <x v="1"/>
    <s v="No"/>
    <s v="Available"/>
    <n v="5"/>
    <s v="Yes"/>
  </r>
  <r>
    <n v="1040"/>
    <d v="2026-01-03T00:00:00"/>
    <x v="2"/>
    <x v="1"/>
    <s v="Sydney"/>
    <s v="Jordan"/>
    <s v="C125"/>
    <s v="New"/>
    <x v="0"/>
    <s v="Flat White"/>
    <s v="S"/>
    <n v="1"/>
    <n v="5.4"/>
    <n v="0"/>
    <n v="5.4"/>
    <x v="2"/>
    <x v="0"/>
    <s v="Yes"/>
    <s v="Available"/>
    <n v="3"/>
    <s v="Yes"/>
  </r>
  <r>
    <n v="1041"/>
    <d v="2026-03-27T00:00:00"/>
    <x v="0"/>
    <x v="0"/>
    <s v="Sydney"/>
    <s v="Sam"/>
    <s v="C199"/>
    <s v="New"/>
    <x v="4"/>
    <s v="Chicken Sandwich"/>
    <s v="N/A"/>
    <n v="4"/>
    <n v="8.33"/>
    <n v="0"/>
    <n v="33.32"/>
    <x v="4"/>
    <x v="0"/>
    <s v="Yes"/>
    <s v="Low Stock"/>
    <n v="4"/>
    <s v="Yes"/>
  </r>
  <r>
    <n v="1042"/>
    <d v="2026-02-20T00:00:00"/>
    <x v="1"/>
    <x v="4"/>
    <s v="Sydney"/>
    <s v="Sam"/>
    <s v="C201"/>
    <s v="Corporate"/>
    <x v="0"/>
    <s v="Espresso"/>
    <s v="L"/>
    <n v="2"/>
    <n v="6.19"/>
    <n v="0"/>
    <n v="12.38"/>
    <x v="0"/>
    <x v="1"/>
    <s v="No"/>
    <s v="Low Stock"/>
    <n v="3"/>
    <s v="No"/>
  </r>
  <r>
    <n v="1043"/>
    <d v="2026-03-06T00:00:00"/>
    <x v="0"/>
    <x v="2"/>
    <s v="Sydney"/>
    <s v="Priya"/>
    <s v="C155"/>
    <s v="New"/>
    <x v="0"/>
    <s v="Mocha"/>
    <s v="M"/>
    <n v="1"/>
    <n v="5.79"/>
    <n v="0"/>
    <n v="5.79"/>
    <x v="2"/>
    <x v="2"/>
    <s v="No"/>
    <s v="Low Stock"/>
    <n v="3"/>
    <s v="Yes"/>
  </r>
  <r>
    <n v="1044"/>
    <d v="2026-02-25T00:00:00"/>
    <x v="1"/>
    <x v="1"/>
    <s v="Sydney"/>
    <s v="Noah"/>
    <s v="C172"/>
    <s v="Corporate"/>
    <x v="2"/>
    <s v="Chai Latte"/>
    <s v="S"/>
    <n v="1"/>
    <n v="4.45"/>
    <n v="5"/>
    <n v="4.2300000000000004"/>
    <x v="1"/>
    <x v="1"/>
    <s v="Yes"/>
    <s v="Low Stock"/>
    <n v="4"/>
    <s v="No"/>
  </r>
  <r>
    <n v="1045"/>
    <d v="2026-01-24T00:00:00"/>
    <x v="2"/>
    <x v="3"/>
    <s v="Sydney"/>
    <s v="Alex"/>
    <s v="C166"/>
    <s v="New"/>
    <x v="3"/>
    <s v="Cold Brew"/>
    <s v="M"/>
    <n v="3"/>
    <n v="6.65"/>
    <n v="10"/>
    <n v="17.96"/>
    <x v="0"/>
    <x v="0"/>
    <s v="No"/>
    <s v="Low Stock"/>
    <n v="5"/>
    <s v="No"/>
  </r>
  <r>
    <n v="1046"/>
    <d v="2026-03-30T00:00:00"/>
    <x v="0"/>
    <x v="3"/>
    <s v="Sydney"/>
    <s v="Jordan"/>
    <s v="C151"/>
    <s v="Corporate"/>
    <x v="6"/>
    <s v="Cheesecake Slice"/>
    <s v="N/A"/>
    <n v="4"/>
    <n v="5.41"/>
    <n v="0"/>
    <n v="21.64"/>
    <x v="3"/>
    <x v="1"/>
    <s v="No"/>
    <s v="Low Stock"/>
    <n v="5"/>
    <s v="No"/>
  </r>
  <r>
    <n v="1047"/>
    <d v="2026-02-24T00:00:00"/>
    <x v="1"/>
    <x v="1"/>
    <s v="Sydney"/>
    <s v="Sam"/>
    <s v="C192"/>
    <s v="New"/>
    <x v="2"/>
    <s v="Chai Latte"/>
    <s v="L"/>
    <n v="4"/>
    <n v="5.84"/>
    <n v="0"/>
    <n v="23.36"/>
    <x v="4"/>
    <x v="0"/>
    <s v="Yes"/>
    <s v="Available"/>
    <n v="4"/>
    <s v="No"/>
  </r>
  <r>
    <n v="1048"/>
    <d v="2026-03-03T00:00:00"/>
    <x v="0"/>
    <x v="2"/>
    <s v="Sydney"/>
    <s v="Chris"/>
    <s v="C122"/>
    <s v="Returning"/>
    <x v="6"/>
    <s v="Cheesecake Slice"/>
    <s v="N/A"/>
    <n v="1"/>
    <n v="5.45"/>
    <n v="0"/>
    <n v="5.45"/>
    <x v="0"/>
    <x v="2"/>
    <s v="Yes"/>
    <s v="Low Stock"/>
    <n v="4"/>
    <s v="No"/>
  </r>
  <r>
    <n v="1049"/>
    <d v="2026-01-07T00:00:00"/>
    <x v="2"/>
    <x v="1"/>
    <s v="Sydney"/>
    <s v="Taylor"/>
    <s v="C160"/>
    <s v="Returning"/>
    <x v="2"/>
    <s v="English Breakfast"/>
    <s v="S"/>
    <n v="4"/>
    <n v="4.29"/>
    <n v="0"/>
    <n v="17.16"/>
    <x v="1"/>
    <x v="1"/>
    <s v="Yes"/>
    <s v="Available"/>
    <n v="3"/>
    <s v="No"/>
  </r>
  <r>
    <n v="1049"/>
    <d v="2026-03-03T00:00:00"/>
    <x v="0"/>
    <x v="0"/>
    <s v="Sydney"/>
    <s v="Priya"/>
    <s v="C119"/>
    <s v="Corporate"/>
    <x v="1"/>
    <s v="Coffee Beans 1kg"/>
    <s v="N/A"/>
    <n v="4"/>
    <n v="18.14"/>
    <n v="10"/>
    <n v="65.3"/>
    <x v="4"/>
    <x v="0"/>
    <s v="Yes"/>
    <s v="Available"/>
    <n v="3"/>
    <s v="Yes"/>
  </r>
  <r>
    <n v="1051"/>
    <d v="2026-03-19T00:00:00"/>
    <x v="0"/>
    <x v="1"/>
    <s v="Sydney"/>
    <s v="Mia"/>
    <s v="C139"/>
    <s v="Corporate"/>
    <x v="1"/>
    <s v="Coffee Beans 1kg"/>
    <s v="N/A"/>
    <n v="4"/>
    <n v="18.11"/>
    <n v="5"/>
    <n v="68.819999999999993"/>
    <x v="2"/>
    <x v="0"/>
    <s v="Yes"/>
    <s v="Available"/>
    <n v="5"/>
    <s v="No"/>
  </r>
  <r>
    <n v="1052"/>
    <d v="2026-02-03T00:00:00"/>
    <x v="1"/>
    <x v="0"/>
    <s v="Sydney"/>
    <s v="Noah"/>
    <s v="C137"/>
    <s v="New"/>
    <x v="3"/>
    <s v="Iced Latte"/>
    <s v="S"/>
    <n v="1"/>
    <n v="5.84"/>
    <n v="5"/>
    <n v="5.55"/>
    <x v="3"/>
    <x v="1"/>
    <s v="No"/>
    <s v="Low Stock"/>
    <n v="3"/>
    <s v="No"/>
  </r>
  <r>
    <n v="1053"/>
    <d v="2026-03-29T00:00:00"/>
    <x v="0"/>
    <x v="4"/>
    <s v="Sydney"/>
    <s v="Priya"/>
    <s v="C216"/>
    <s v="Returning"/>
    <x v="2"/>
    <s v="English Breakfast"/>
    <s v="L"/>
    <n v="2"/>
    <n v="5.98"/>
    <n v="10"/>
    <n v="10.76"/>
    <x v="3"/>
    <x v="0"/>
    <s v="Yes"/>
    <s v="Available"/>
    <n v="4"/>
    <s v="No"/>
  </r>
  <r>
    <n v="1054"/>
    <d v="2026-03-18T00:00:00"/>
    <x v="0"/>
    <x v="1"/>
    <s v="Sydney"/>
    <s v="Noah"/>
    <s v="C156"/>
    <s v="New"/>
    <x v="2"/>
    <s v="Chai Latte"/>
    <s v="S"/>
    <n v="4"/>
    <n v="4.82"/>
    <n v="5"/>
    <n v="18.32"/>
    <x v="2"/>
    <x v="0"/>
    <s v="No"/>
    <s v="Low Stock"/>
    <n v="5"/>
    <s v="No"/>
  </r>
  <r>
    <n v="1055"/>
    <d v="2026-01-04T00:00:00"/>
    <x v="2"/>
    <x v="0"/>
    <s v="Sydney"/>
    <s v="Alex"/>
    <s v="C197"/>
    <s v="New"/>
    <x v="3"/>
    <s v="Frappa"/>
    <s v="L"/>
    <n v="1"/>
    <n v="8"/>
    <n v="0"/>
    <n v="8"/>
    <x v="1"/>
    <x v="2"/>
    <s v="No"/>
    <s v="Low Stock"/>
    <n v="3"/>
    <s v="No"/>
  </r>
  <r>
    <n v="1056"/>
    <d v="2026-03-16T00:00:00"/>
    <x v="0"/>
    <x v="3"/>
    <s v="Sydney"/>
    <s v="Chris"/>
    <s v="C185"/>
    <s v="New"/>
    <x v="6"/>
    <s v="Cheesecake Slice"/>
    <s v="N/A"/>
    <n v="1"/>
    <n v="5.12"/>
    <n v="5"/>
    <n v="4.8600000000000003"/>
    <x v="3"/>
    <x v="1"/>
    <s v="No"/>
    <s v="Low Stock"/>
    <n v="5"/>
    <s v="No"/>
  </r>
  <r>
    <n v="1057"/>
    <d v="2026-03-26T00:00:00"/>
    <x v="0"/>
    <x v="3"/>
    <s v="Sydney"/>
    <s v="Sam"/>
    <s v="C198"/>
    <s v="Returning"/>
    <x v="1"/>
    <s v="Coffee Beans 1kg"/>
    <s v="N/A"/>
    <n v="4"/>
    <n v="17.78"/>
    <n v="0"/>
    <n v="71.12"/>
    <x v="2"/>
    <x v="0"/>
    <s v="No"/>
    <s v="Low Stock"/>
    <n v="5"/>
    <s v="No"/>
  </r>
  <r>
    <n v="1058"/>
    <d v="2026-01-25T00:00:00"/>
    <x v="2"/>
    <x v="1"/>
    <s v="Sydney"/>
    <s v="Priya"/>
    <s v="C218"/>
    <s v="Returning"/>
    <x v="2"/>
    <s v="English Breakfast"/>
    <s v="M"/>
    <n v="4"/>
    <n v="5.58"/>
    <n v="0"/>
    <n v="22.32"/>
    <x v="1"/>
    <x v="2"/>
    <s v="No"/>
    <s v="Available"/>
    <n v="5"/>
    <s v="No"/>
  </r>
  <r>
    <n v="1059"/>
    <d v="2026-03-22T00:00:00"/>
    <x v="0"/>
    <x v="1"/>
    <s v="Sydney"/>
    <s v="Mia"/>
    <s v="C111"/>
    <s v="New"/>
    <x v="1"/>
    <s v="Coffee Beans 1kg"/>
    <s v="N/A"/>
    <n v="2"/>
    <n v="17.98"/>
    <n v="0"/>
    <n v="35.96"/>
    <x v="0"/>
    <x v="1"/>
    <s v="Yes"/>
    <s v="Available"/>
    <n v="3"/>
    <s v="Yes"/>
  </r>
  <r>
    <n v="1060"/>
    <d v="2026-02-07T00:00:00"/>
    <x v="1"/>
    <x v="1"/>
    <s v="Sydney"/>
    <s v="Noah"/>
    <s v="C170"/>
    <s v="New"/>
    <x v="6"/>
    <s v="Cheesecake Slice"/>
    <s v="N/A"/>
    <n v="4"/>
    <n v="5.45"/>
    <n v="5"/>
    <n v="20.71"/>
    <x v="1"/>
    <x v="0"/>
    <s v="Yes"/>
    <s v="Available"/>
    <n v="4"/>
    <s v="No"/>
  </r>
  <r>
    <n v="1061"/>
    <d v="2026-02-23T00:00:00"/>
    <x v="1"/>
    <x v="2"/>
    <s v="Sydney"/>
    <s v="Noah"/>
    <s v="C210"/>
    <s v="New"/>
    <x v="1"/>
    <s v="Ground Coffee 500g"/>
    <s v="N/A"/>
    <n v="1"/>
    <n v="17.95"/>
    <n v="0"/>
    <n v="17.95"/>
    <x v="1"/>
    <x v="2"/>
    <s v="No"/>
    <s v="Low Stock"/>
    <n v="3"/>
    <s v="No"/>
  </r>
  <r>
    <n v="1062"/>
    <d v="2026-03-12T00:00:00"/>
    <x v="0"/>
    <x v="1"/>
    <s v="Sydney"/>
    <s v="Mia"/>
    <s v="C129"/>
    <s v="Returning"/>
    <x v="5"/>
    <s v="Blueberry Muffin"/>
    <s v="N/A"/>
    <n v="3"/>
    <n v="4.4800000000000004"/>
    <n v="0"/>
    <n v="13.44"/>
    <x v="0"/>
    <x v="1"/>
    <s v="No"/>
    <s v="Low Stock"/>
    <n v="3"/>
    <s v="Yes"/>
  </r>
  <r>
    <n v="1063"/>
    <d v="2026-03-26T00:00:00"/>
    <x v="0"/>
    <x v="4"/>
    <s v="Sydney"/>
    <s v="Sam"/>
    <s v="C211"/>
    <s v="Returning"/>
    <x v="5"/>
    <s v="Croissant"/>
    <s v="N/A"/>
    <n v="2"/>
    <n v="4.1500000000000004"/>
    <n v="10"/>
    <n v="7.47"/>
    <x v="0"/>
    <x v="2"/>
    <s v="No"/>
    <s v="Available"/>
    <n v="5"/>
    <s v="No"/>
  </r>
  <r>
    <n v="1064"/>
    <d v="2026-02-22T00:00:00"/>
    <x v="1"/>
    <x v="4"/>
    <s v="Sydney"/>
    <s v="Chris"/>
    <s v="C209"/>
    <s v="Corporate"/>
    <x v="0"/>
    <s v="Mocha"/>
    <s v="M"/>
    <n v="3"/>
    <n v="5.96"/>
    <n v="5"/>
    <n v="16.989999999999998"/>
    <x v="2"/>
    <x v="1"/>
    <s v="No"/>
    <s v="Low Stock"/>
    <n v="3"/>
    <s v="No"/>
  </r>
  <r>
    <n v="1065"/>
    <d v="2026-03-21T00:00:00"/>
    <x v="0"/>
    <x v="0"/>
    <s v="Sydney"/>
    <s v="Sam"/>
    <s v="C197"/>
    <s v="Corporate"/>
    <x v="3"/>
    <s v="Frappa"/>
    <s v="L"/>
    <n v="3"/>
    <n v="8"/>
    <n v="0"/>
    <n v="24"/>
    <x v="0"/>
    <x v="1"/>
    <s v="Yes"/>
    <s v="Low Stock"/>
    <n v="3"/>
    <s v="No"/>
  </r>
  <r>
    <n v="1066"/>
    <d v="2026-01-06T00:00:00"/>
    <x v="2"/>
    <x v="2"/>
    <s v="Sydney"/>
    <s v="Jordan"/>
    <s v="C167"/>
    <s v="Returning"/>
    <x v="1"/>
    <s v="Coffee Beans 1kg"/>
    <s v="N/A"/>
    <n v="3"/>
    <n v="18.02"/>
    <n v="5"/>
    <n v="51.36"/>
    <x v="2"/>
    <x v="2"/>
    <s v="Yes"/>
    <s v="Available"/>
    <n v="4"/>
    <s v="No"/>
  </r>
  <r>
    <n v="1067"/>
    <d v="2026-01-11T00:00:00"/>
    <x v="2"/>
    <x v="1"/>
    <s v="Sydney"/>
    <s v="Jordan"/>
    <s v="C159"/>
    <s v="Corporate"/>
    <x v="1"/>
    <s v="Ground Coffee 500g"/>
    <s v="N/A"/>
    <n v="2"/>
    <n v="18.149999999999999"/>
    <n v="10"/>
    <n v="32.67"/>
    <x v="4"/>
    <x v="1"/>
    <s v="No"/>
    <s v="Available"/>
    <n v="4"/>
    <s v="Yes"/>
  </r>
  <r>
    <n v="1068"/>
    <d v="2026-02-06T00:00:00"/>
    <x v="1"/>
    <x v="1"/>
    <s v="Sydney"/>
    <s v="Taylor"/>
    <s v="C158"/>
    <s v="Returning"/>
    <x v="3"/>
    <s v="Iced Latte"/>
    <s v="M"/>
    <n v="3"/>
    <n v="7.29"/>
    <n v="0"/>
    <n v="21.87"/>
    <x v="3"/>
    <x v="1"/>
    <s v="No"/>
    <s v="Available"/>
    <n v="3"/>
    <s v="No"/>
  </r>
  <r>
    <n v="1069"/>
    <d v="2026-02-18T00:00:00"/>
    <x v="1"/>
    <x v="1"/>
    <s v="Sydney"/>
    <s v="Alex"/>
    <s v="C172"/>
    <s v="Corporate"/>
    <x v="2"/>
    <s v="English Breakfast"/>
    <s v="M"/>
    <n v="3"/>
    <n v="4.92"/>
    <n v="5"/>
    <n v="14.02"/>
    <x v="0"/>
    <x v="2"/>
    <s v="No"/>
    <s v="Low Stock"/>
    <n v="5"/>
    <s v="No"/>
  </r>
  <r>
    <n v="1070"/>
    <d v="2026-03-19T00:00:00"/>
    <x v="0"/>
    <x v="2"/>
    <s v="Sydney"/>
    <s v="Alex"/>
    <s v="C139"/>
    <s v="Returning"/>
    <x v="3"/>
    <s v="Frappa"/>
    <s v="S"/>
    <n v="3"/>
    <n v="6.31"/>
    <n v="0"/>
    <n v="18.93"/>
    <x v="0"/>
    <x v="2"/>
    <s v="No"/>
    <s v="Available"/>
    <n v="3"/>
    <s v="No"/>
  </r>
  <r>
    <n v="1071"/>
    <d v="2026-02-07T00:00:00"/>
    <x v="1"/>
    <x v="2"/>
    <s v="Sydney"/>
    <s v="Taylor"/>
    <s v="C206"/>
    <s v="New"/>
    <x v="6"/>
    <s v="Cheesecake Slice"/>
    <s v="N/A"/>
    <n v="2"/>
    <n v="4.88"/>
    <n v="10"/>
    <n v="8.7799999999999994"/>
    <x v="4"/>
    <x v="1"/>
    <s v="No"/>
    <s v="Low Stock"/>
    <n v="5"/>
    <s v="No"/>
  </r>
  <r>
    <n v="1072"/>
    <d v="2026-03-01T00:00:00"/>
    <x v="0"/>
    <x v="0"/>
    <s v="Sydney"/>
    <s v="Sam"/>
    <s v="C201"/>
    <s v="Returning"/>
    <x v="3"/>
    <s v="Iced Latte"/>
    <s v="L"/>
    <n v="4"/>
    <n v="7.97"/>
    <n v="10"/>
    <n v="28.69"/>
    <x v="0"/>
    <x v="1"/>
    <s v="Yes"/>
    <s v="Low Stock"/>
    <n v="5"/>
    <s v="No"/>
  </r>
  <r>
    <n v="1073"/>
    <d v="2026-03-28T00:00:00"/>
    <x v="0"/>
    <x v="2"/>
    <s v="Sydney"/>
    <s v="Alex"/>
    <s v="C179"/>
    <s v="Corporate"/>
    <x v="4"/>
    <s v="Veggie Wrap"/>
    <s v="N/A"/>
    <n v="3"/>
    <n v="7.8"/>
    <n v="0"/>
    <n v="23.4"/>
    <x v="4"/>
    <x v="2"/>
    <s v="Yes"/>
    <s v="Available"/>
    <n v="3"/>
    <s v="Yes"/>
  </r>
  <r>
    <n v="1074"/>
    <d v="2026-03-31T00:00:00"/>
    <x v="0"/>
    <x v="2"/>
    <s v="Sydney"/>
    <s v="Noah"/>
    <s v="C114"/>
    <s v="New"/>
    <x v="6"/>
    <s v="Cheesecake Slice"/>
    <s v="N/A"/>
    <n v="1"/>
    <n v="4.83"/>
    <n v="0"/>
    <n v="4.83"/>
    <x v="3"/>
    <x v="2"/>
    <s v="Yes"/>
    <s v="Low Stock"/>
    <n v="5"/>
    <s v="Yes"/>
  </r>
  <r>
    <n v="1075"/>
    <d v="2026-02-17T00:00:00"/>
    <x v="1"/>
    <x v="1"/>
    <s v="Sydney"/>
    <s v="Mia"/>
    <s v="C220"/>
    <s v="Returning"/>
    <x v="5"/>
    <s v="Banana Bread"/>
    <s v="N/A"/>
    <n v="2"/>
    <n v="4.5"/>
    <n v="0"/>
    <n v="9"/>
    <x v="0"/>
    <x v="2"/>
    <s v="No"/>
    <s v="Available"/>
    <n v="3"/>
    <s v="Yes"/>
  </r>
  <r>
    <n v="1076"/>
    <d v="2026-02-26T00:00:00"/>
    <x v="1"/>
    <x v="4"/>
    <s v="Sydney"/>
    <s v="Chris"/>
    <s v="C107"/>
    <s v="Returning"/>
    <x v="1"/>
    <s v="Ground Coffee 500g"/>
    <s v="N/A"/>
    <n v="1"/>
    <n v="18.579999999999998"/>
    <n v="0"/>
    <n v="18.579999999999998"/>
    <x v="4"/>
    <x v="0"/>
    <s v="Yes"/>
    <s v="Low Stock"/>
    <n v="3"/>
    <s v="No"/>
  </r>
  <r>
    <n v="1077"/>
    <d v="2026-03-26T00:00:00"/>
    <x v="0"/>
    <x v="4"/>
    <s v="Sydney"/>
    <s v="Jordan"/>
    <s v="C108"/>
    <s v="Corporate"/>
    <x v="6"/>
    <s v="Brownie"/>
    <s v="N/A"/>
    <n v="1"/>
    <n v="5.41"/>
    <n v="0"/>
    <n v="5.41"/>
    <x v="3"/>
    <x v="2"/>
    <s v="Yes"/>
    <s v="Available"/>
    <n v="4"/>
    <s v="No"/>
  </r>
  <r>
    <n v="1078"/>
    <d v="2026-01-19T00:00:00"/>
    <x v="2"/>
    <x v="1"/>
    <s v="Sydney"/>
    <s v="Alex"/>
    <s v="C116"/>
    <s v="New"/>
    <x v="0"/>
    <s v="Flat White"/>
    <s v="S"/>
    <n v="2"/>
    <n v="5.19"/>
    <n v="0"/>
    <n v="10.38"/>
    <x v="4"/>
    <x v="0"/>
    <s v="No"/>
    <s v="Available"/>
    <n v="3"/>
    <s v="No"/>
  </r>
  <r>
    <n v="1079"/>
    <d v="2026-02-03T00:00:00"/>
    <x v="1"/>
    <x v="0"/>
    <s v="Sydney"/>
    <s v="Chris"/>
    <s v="C165"/>
    <s v="Corporate"/>
    <x v="3"/>
    <s v="Frappa"/>
    <s v="M"/>
    <n v="1"/>
    <n v="7.07"/>
    <n v="5"/>
    <n v="6.72"/>
    <x v="0"/>
    <x v="1"/>
    <s v="Yes"/>
    <s v="Available"/>
    <n v="3"/>
    <s v="No"/>
  </r>
  <r>
    <n v="1080"/>
    <d v="2026-02-28T00:00:00"/>
    <x v="1"/>
    <x v="0"/>
    <s v="Sydney"/>
    <s v="Sam"/>
    <s v="C215"/>
    <s v="New"/>
    <x v="0"/>
    <s v="Mocha"/>
    <s v="M"/>
    <n v="4"/>
    <n v="6.02"/>
    <n v="5"/>
    <n v="22.88"/>
    <x v="4"/>
    <x v="2"/>
    <s v="Yes"/>
    <s v="Available"/>
    <n v="3"/>
    <s v="No"/>
  </r>
  <r>
    <n v="1081"/>
    <d v="2026-02-05T00:00:00"/>
    <x v="1"/>
    <x v="1"/>
    <s v="Sydney"/>
    <s v="Noah"/>
    <s v="C164"/>
    <s v="Corporate"/>
    <x v="6"/>
    <s v="Cheesecake Slice"/>
    <s v="N/A"/>
    <n v="4"/>
    <n v="5.6"/>
    <n v="10"/>
    <n v="20.16"/>
    <x v="1"/>
    <x v="0"/>
    <s v="Yes"/>
    <s v="Available"/>
    <n v="5"/>
    <s v="Yes"/>
  </r>
  <r>
    <n v="1082"/>
    <d v="2026-02-27T00:00:00"/>
    <x v="1"/>
    <x v="4"/>
    <s v="Sydney"/>
    <s v="Mia"/>
    <s v="C140"/>
    <s v="Corporate"/>
    <x v="5"/>
    <s v="Blueberry Muffin"/>
    <s v="N/A"/>
    <n v="4"/>
    <n v="4.0599999999999996"/>
    <n v="0"/>
    <n v="16.239999999999998"/>
    <x v="4"/>
    <x v="1"/>
    <s v="Yes"/>
    <s v="Low Stock"/>
    <n v="5"/>
    <s v="No"/>
  </r>
  <r>
    <n v="1083"/>
    <d v="2026-01-12T00:00:00"/>
    <x v="2"/>
    <x v="0"/>
    <s v="Sydney"/>
    <s v="Chris"/>
    <s v="C185"/>
    <s v="New"/>
    <x v="0"/>
    <s v="Mocha"/>
    <s v="S"/>
    <n v="3"/>
    <n v="5.43"/>
    <n v="10"/>
    <n v="14.66"/>
    <x v="1"/>
    <x v="1"/>
    <s v="No"/>
    <s v="Available"/>
    <n v="3"/>
    <s v="No"/>
  </r>
  <r>
    <n v="1084"/>
    <d v="2026-03-18T00:00:00"/>
    <x v="0"/>
    <x v="2"/>
    <s v="Sydney"/>
    <s v="Sam"/>
    <s v="C144"/>
    <s v="Corporate"/>
    <x v="2"/>
    <s v="Green Tea"/>
    <s v="L"/>
    <n v="2"/>
    <n v="5.74"/>
    <n v="5"/>
    <n v="10.91"/>
    <x v="4"/>
    <x v="0"/>
    <s v="No"/>
    <s v="Available"/>
    <n v="4"/>
    <s v="Yes"/>
  </r>
  <r>
    <n v="1085"/>
    <d v="2026-03-13T00:00:00"/>
    <x v="0"/>
    <x v="1"/>
    <s v="Sydney"/>
    <s v="Priya"/>
    <s v="C134"/>
    <s v="Corporate"/>
    <x v="4"/>
    <s v="Ham Toastie"/>
    <s v="N/A"/>
    <n v="1"/>
    <n v="8.25"/>
    <n v="0"/>
    <n v="8.25"/>
    <x v="4"/>
    <x v="1"/>
    <s v="No"/>
    <s v="Available"/>
    <n v="3"/>
    <s v="No"/>
  </r>
  <r>
    <n v="1086"/>
    <d v="2026-01-19T00:00:00"/>
    <x v="2"/>
    <x v="1"/>
    <s v="Sydney"/>
    <s v="Jordan"/>
    <s v="C148"/>
    <s v="Returning"/>
    <x v="6"/>
    <s v="Cheesecake Slice"/>
    <s v="N/A"/>
    <n v="1"/>
    <n v="4.83"/>
    <n v="0"/>
    <n v="4.83"/>
    <x v="1"/>
    <x v="1"/>
    <s v="Yes"/>
    <s v="Low Stock"/>
    <n v="3"/>
    <s v="No"/>
  </r>
  <r>
    <n v="1087"/>
    <d v="2026-02-11T00:00:00"/>
    <x v="1"/>
    <x v="1"/>
    <s v="Sydney"/>
    <s v="Sam"/>
    <s v="C134"/>
    <s v="Returning"/>
    <x v="4"/>
    <s v="Chicken Sandwich"/>
    <s v="N/A"/>
    <n v="1"/>
    <n v="7.84"/>
    <n v="10"/>
    <n v="7.06"/>
    <x v="1"/>
    <x v="1"/>
    <s v="No"/>
    <s v="Low Stock"/>
    <n v="3"/>
    <s v="No"/>
  </r>
  <r>
    <n v="1088"/>
    <d v="2026-01-28T00:00:00"/>
    <x v="2"/>
    <x v="1"/>
    <s v="Sydney"/>
    <s v="Taylor"/>
    <s v="C105"/>
    <s v="New"/>
    <x v="0"/>
    <s v="Flat White"/>
    <s v="M"/>
    <n v="1"/>
    <n v="5.65"/>
    <n v="10"/>
    <n v="5.09"/>
    <x v="1"/>
    <x v="2"/>
    <s v="Yes"/>
    <s v="Available"/>
    <n v="3"/>
    <s v="No"/>
  </r>
  <r>
    <n v="1089"/>
    <d v="2026-02-08T00:00:00"/>
    <x v="1"/>
    <x v="4"/>
    <s v="Sydney"/>
    <s v="Noah"/>
    <s v="C195"/>
    <s v="Returning"/>
    <x v="1"/>
    <s v="Coffee Beans 1kg"/>
    <s v="N/A"/>
    <n v="3"/>
    <n v="17.96"/>
    <n v="0"/>
    <n v="53.88"/>
    <x v="3"/>
    <x v="0"/>
    <s v="No"/>
    <s v="Available"/>
    <n v="3"/>
    <s v="No"/>
  </r>
  <r>
    <n v="1090"/>
    <d v="2026-01-10T00:00:00"/>
    <x v="2"/>
    <x v="3"/>
    <s v="Sydney"/>
    <s v="Mia"/>
    <s v="C173"/>
    <s v="Returning"/>
    <x v="1"/>
    <s v="Coffee Beans 1kg"/>
    <s v="N/A"/>
    <n v="4"/>
    <n v="17.72"/>
    <n v="0"/>
    <n v="70.88"/>
    <x v="1"/>
    <x v="1"/>
    <s v="Yes"/>
    <s v="Low Stock"/>
    <n v="5"/>
    <s v="No"/>
  </r>
  <r>
    <n v="1091"/>
    <d v="2026-02-11T00:00:00"/>
    <x v="1"/>
    <x v="4"/>
    <s v="Sydney"/>
    <s v="Mia"/>
    <s v="C175"/>
    <s v="Returning"/>
    <x v="1"/>
    <s v="Ground Coffee 500g"/>
    <s v="N/A"/>
    <n v="3"/>
    <n v="17.78"/>
    <n v="0"/>
    <n v="53.34"/>
    <x v="2"/>
    <x v="0"/>
    <s v="No"/>
    <s v="Low Stock"/>
    <n v="4"/>
    <s v="No"/>
  </r>
  <r>
    <n v="1092"/>
    <d v="2026-01-29T00:00:00"/>
    <x v="2"/>
    <x v="2"/>
    <s v="Sydney"/>
    <s v="Jordan"/>
    <s v="C215"/>
    <s v="Returning"/>
    <x v="1"/>
    <s v="Coffee Beans 1kg"/>
    <s v="N/A"/>
    <n v="1"/>
    <n v="18.16"/>
    <n v="0"/>
    <n v="18.16"/>
    <x v="4"/>
    <x v="2"/>
    <s v="Yes"/>
    <s v="Available"/>
    <n v="3"/>
    <s v="No"/>
  </r>
  <r>
    <n v="1093"/>
    <d v="2026-01-19T00:00:00"/>
    <x v="2"/>
    <x v="2"/>
    <s v="Sydney"/>
    <s v="Noah"/>
    <s v="C159"/>
    <s v="Corporate"/>
    <x v="3"/>
    <s v="Iced Latte"/>
    <s v="L"/>
    <n v="2"/>
    <n v="7.78"/>
    <n v="0"/>
    <n v="15.56"/>
    <x v="2"/>
    <x v="1"/>
    <s v="No"/>
    <s v="Low Stock"/>
    <n v="4"/>
    <s v="No"/>
  </r>
  <r>
    <n v="1094"/>
    <d v="2026-02-26T00:00:00"/>
    <x v="1"/>
    <x v="0"/>
    <s v="Sydney"/>
    <s v="Chris"/>
    <s v="C164"/>
    <s v="New"/>
    <x v="5"/>
    <s v="Blueberry Muffin"/>
    <s v="N/A"/>
    <n v="3"/>
    <n v="4.42"/>
    <n v="10"/>
    <n v="11.93"/>
    <x v="4"/>
    <x v="1"/>
    <s v="No"/>
    <s v="Available"/>
    <n v="3"/>
    <s v="No"/>
  </r>
  <r>
    <n v="1095"/>
    <d v="2026-02-17T00:00:00"/>
    <x v="1"/>
    <x v="2"/>
    <s v="Sydney"/>
    <s v="Noah"/>
    <s v="C216"/>
    <s v="Corporate"/>
    <x v="0"/>
    <s v="Latte"/>
    <s v="L"/>
    <n v="4"/>
    <n v="6.52"/>
    <n v="10"/>
    <n v="23.47"/>
    <x v="3"/>
    <x v="1"/>
    <s v="No"/>
    <s v="Available"/>
    <n v="3"/>
    <s v="No"/>
  </r>
  <r>
    <n v="1096"/>
    <d v="2026-02-27T00:00:00"/>
    <x v="1"/>
    <x v="0"/>
    <s v="Sydney"/>
    <s v="Jordan"/>
    <s v="C190"/>
    <s v="Returning"/>
    <x v="1"/>
    <s v="Ground Coffee 500g"/>
    <s v="N/A"/>
    <n v="1"/>
    <n v="18.149999999999999"/>
    <n v="0"/>
    <n v="18.149999999999999"/>
    <x v="1"/>
    <x v="2"/>
    <s v="Yes"/>
    <s v="Low Stock"/>
    <n v="3"/>
    <s v="No"/>
  </r>
  <r>
    <n v="1097"/>
    <d v="2026-02-06T00:00:00"/>
    <x v="1"/>
    <x v="3"/>
    <s v="Sydney"/>
    <s v="Chris"/>
    <s v="C112"/>
    <s v="Corporate"/>
    <x v="5"/>
    <s v="Blueberry Muffin"/>
    <s v="N/A"/>
    <n v="1"/>
    <n v="4.41"/>
    <n v="0"/>
    <n v="4.41"/>
    <x v="1"/>
    <x v="1"/>
    <s v="No"/>
    <s v="Available"/>
    <n v="3"/>
    <s v="No"/>
  </r>
  <r>
    <n v="1098"/>
    <d v="2026-01-11T00:00:00"/>
    <x v="2"/>
    <x v="1"/>
    <s v="Sydney"/>
    <s v="Sam"/>
    <s v="C139"/>
    <s v="Corporate"/>
    <x v="6"/>
    <s v="Brownie"/>
    <s v="N/A"/>
    <n v="3"/>
    <n v="4.9800000000000004"/>
    <n v="5"/>
    <n v="14.19"/>
    <x v="1"/>
    <x v="2"/>
    <s v="No"/>
    <s v="Available"/>
    <n v="4"/>
    <s v="No"/>
  </r>
  <r>
    <n v="1099"/>
    <d v="2026-03-24T00:00:00"/>
    <x v="0"/>
    <x v="3"/>
    <s v="Sydney"/>
    <s v="Chris"/>
    <s v="C198"/>
    <s v="Returning"/>
    <x v="4"/>
    <s v="Veggie Wrap"/>
    <s v="N/A"/>
    <n v="1"/>
    <n v="8.0299999999999994"/>
    <n v="0"/>
    <n v="8.0299999999999994"/>
    <x v="3"/>
    <x v="0"/>
    <s v="Yes"/>
    <s v="Available"/>
    <n v="4"/>
    <s v="No"/>
  </r>
  <r>
    <n v="1100"/>
    <d v="2026-02-07T00:00:00"/>
    <x v="1"/>
    <x v="0"/>
    <s v="Sydney"/>
    <s v="Mia"/>
    <s v="C119"/>
    <s v="New"/>
    <x v="4"/>
    <s v="Ham Toastie"/>
    <s v="N/A"/>
    <n v="1"/>
    <n v="8.3000000000000007"/>
    <n v="10"/>
    <n v="7.47"/>
    <x v="3"/>
    <x v="2"/>
    <s v="Yes"/>
    <s v="Low Stock"/>
    <n v="4"/>
    <s v="No"/>
  </r>
  <r>
    <n v="1101"/>
    <d v="2026-02-22T00:00:00"/>
    <x v="1"/>
    <x v="2"/>
    <s v="Sydney"/>
    <s v="Jordan"/>
    <s v="C139"/>
    <s v="Returning"/>
    <x v="6"/>
    <s v="Brownie"/>
    <s v="N/A"/>
    <n v="4"/>
    <n v="5.25"/>
    <n v="5"/>
    <n v="19.95"/>
    <x v="3"/>
    <x v="1"/>
    <s v="No"/>
    <s v="Low Stock"/>
    <n v="4"/>
    <s v="No"/>
  </r>
  <r>
    <n v="1102"/>
    <d v="2026-02-18T00:00:00"/>
    <x v="1"/>
    <x v="1"/>
    <s v="Sydney"/>
    <s v="Taylor"/>
    <s v="C106"/>
    <s v="Corporate"/>
    <x v="4"/>
    <s v="Veggie Wrap"/>
    <s v="N/A"/>
    <n v="2"/>
    <n v="8.44"/>
    <n v="10"/>
    <n v="15.19"/>
    <x v="1"/>
    <x v="1"/>
    <s v="Yes"/>
    <s v="Available"/>
    <n v="4"/>
    <s v="No"/>
  </r>
  <r>
    <n v="1103"/>
    <d v="2026-01-11T00:00:00"/>
    <x v="2"/>
    <x v="4"/>
    <s v="Sydney"/>
    <s v="Noah"/>
    <s v="C213"/>
    <s v="Returning"/>
    <x v="2"/>
    <s v="Chai Latte"/>
    <s v="L"/>
    <n v="2"/>
    <n v="6.35"/>
    <n v="0"/>
    <n v="12.7"/>
    <x v="0"/>
    <x v="1"/>
    <s v="Yes"/>
    <s v="Low Stock"/>
    <n v="4"/>
    <s v="No"/>
  </r>
  <r>
    <n v="1104"/>
    <d v="2026-01-31T00:00:00"/>
    <x v="2"/>
    <x v="3"/>
    <s v="Sydney"/>
    <s v="Priya"/>
    <s v="C117"/>
    <s v="New"/>
    <x v="0"/>
    <s v="Flat White"/>
    <s v="S"/>
    <n v="1"/>
    <n v="4.99"/>
    <n v="0"/>
    <n v="4.99"/>
    <x v="4"/>
    <x v="1"/>
    <s v="Yes"/>
    <s v="Low Stock"/>
    <n v="5"/>
    <s v="Yes"/>
  </r>
  <r>
    <n v="1105"/>
    <d v="2026-03-20T00:00:00"/>
    <x v="0"/>
    <x v="0"/>
    <s v="Sydney"/>
    <s v="Mia"/>
    <s v="C114"/>
    <s v="Returning"/>
    <x v="0"/>
    <s v="Latte"/>
    <s v="M"/>
    <n v="2"/>
    <n v="6.15"/>
    <n v="10"/>
    <n v="11.07"/>
    <x v="3"/>
    <x v="1"/>
    <s v="Yes"/>
    <s v="Available"/>
    <n v="3"/>
    <s v="No"/>
  </r>
  <r>
    <n v="1106"/>
    <d v="2026-02-23T00:00:00"/>
    <x v="1"/>
    <x v="1"/>
    <s v="Sydney"/>
    <s v="Alex"/>
    <s v="C180"/>
    <s v="Corporate"/>
    <x v="5"/>
    <s v="Croissant"/>
    <s v="N/A"/>
    <n v="1"/>
    <n v="4.45"/>
    <n v="5"/>
    <n v="4.2300000000000004"/>
    <x v="2"/>
    <x v="0"/>
    <s v="Yes"/>
    <s v="Low Stock"/>
    <n v="3"/>
    <s v="Yes"/>
  </r>
  <r>
    <n v="1107"/>
    <d v="2026-01-01T00:00:00"/>
    <x v="2"/>
    <x v="1"/>
    <s v="Sydney"/>
    <s v="Chris"/>
    <s v="C108"/>
    <s v="Corporate"/>
    <x v="2"/>
    <s v="Green Tea"/>
    <s v="L"/>
    <n v="4"/>
    <n v="5.77"/>
    <n v="0"/>
    <n v="23.08"/>
    <x v="2"/>
    <x v="2"/>
    <s v="Yes"/>
    <s v="Low Stock"/>
    <n v="3"/>
    <s v="Yes"/>
  </r>
  <r>
    <n v="1108"/>
    <d v="2026-01-06T00:00:00"/>
    <x v="2"/>
    <x v="3"/>
    <s v="Sydney"/>
    <s v="Jordan"/>
    <s v="C193"/>
    <s v="Corporate"/>
    <x v="2"/>
    <s v="Chai Latte"/>
    <s v="L"/>
    <n v="1"/>
    <n v="5.92"/>
    <n v="0"/>
    <n v="5.92"/>
    <x v="0"/>
    <x v="2"/>
    <s v="No"/>
    <s v="Available"/>
    <n v="5"/>
    <s v="No"/>
  </r>
  <r>
    <n v="1109"/>
    <d v="2026-02-15T00:00:00"/>
    <x v="1"/>
    <x v="1"/>
    <s v="Sydney"/>
    <s v="Priya"/>
    <s v="C108"/>
    <s v="Corporate"/>
    <x v="2"/>
    <s v="English Breakfast"/>
    <s v="S"/>
    <n v="4"/>
    <n v="5.08"/>
    <n v="5"/>
    <n v="19.3"/>
    <x v="1"/>
    <x v="0"/>
    <s v="No"/>
    <s v="Available"/>
    <n v="4"/>
    <s v="No"/>
  </r>
  <r>
    <n v="1110"/>
    <d v="2026-01-26T00:00:00"/>
    <x v="2"/>
    <x v="0"/>
    <s v="Sydney"/>
    <s v="Taylor"/>
    <s v="C104"/>
    <s v="Corporate"/>
    <x v="2"/>
    <s v="Chai Latte"/>
    <s v="L"/>
    <n v="4"/>
    <n v="6.49"/>
    <n v="10"/>
    <n v="23.36"/>
    <x v="3"/>
    <x v="1"/>
    <s v="No"/>
    <s v="Available"/>
    <n v="3"/>
    <s v="No"/>
  </r>
  <r>
    <n v="1111"/>
    <d v="2026-02-04T00:00:00"/>
    <x v="1"/>
    <x v="0"/>
    <s v="Sydney"/>
    <s v="Chris"/>
    <s v="C123"/>
    <s v="Returning"/>
    <x v="1"/>
    <s v="Ground Coffee 500g"/>
    <s v="N/A"/>
    <n v="4"/>
    <n v="18.5"/>
    <n v="5"/>
    <n v="70.3"/>
    <x v="1"/>
    <x v="1"/>
    <s v="No"/>
    <s v="Available"/>
    <n v="3"/>
    <s v="Yes"/>
  </r>
  <r>
    <n v="1112"/>
    <d v="2026-01-11T00:00:00"/>
    <x v="2"/>
    <x v="3"/>
    <s v="Sydney"/>
    <s v="Taylor"/>
    <s v="C139"/>
    <s v="Returning"/>
    <x v="4"/>
    <s v="Chicken Sandwich"/>
    <s v="N/A"/>
    <n v="3"/>
    <n v="7.99"/>
    <n v="0"/>
    <n v="23.97"/>
    <x v="2"/>
    <x v="2"/>
    <s v="No"/>
    <s v="Available"/>
    <n v="5"/>
    <s v="Yes"/>
  </r>
  <r>
    <n v="1113"/>
    <d v="2026-02-14T00:00:00"/>
    <x v="1"/>
    <x v="3"/>
    <s v="Sydney"/>
    <s v="Mia"/>
    <s v="C146"/>
    <s v="Corporate"/>
    <x v="0"/>
    <s v="Flat White"/>
    <s v="L"/>
    <n v="4"/>
    <n v="6.35"/>
    <n v="0"/>
    <n v="25.4"/>
    <x v="3"/>
    <x v="0"/>
    <s v="Yes"/>
    <s v="Low Stock"/>
    <n v="3"/>
    <s v="No"/>
  </r>
  <r>
    <n v="1114"/>
    <d v="2026-01-17T00:00:00"/>
    <x v="2"/>
    <x v="0"/>
    <s v="Sydney"/>
    <s v="Priya"/>
    <s v="C186"/>
    <s v="Returning"/>
    <x v="3"/>
    <s v="Frappa"/>
    <s v="M"/>
    <n v="3"/>
    <n v="6.74"/>
    <n v="10"/>
    <n v="18.2"/>
    <x v="4"/>
    <x v="1"/>
    <s v="No"/>
    <s v="Available"/>
    <n v="3"/>
    <s v="No"/>
  </r>
  <r>
    <n v="1115"/>
    <d v="2026-03-09T00:00:00"/>
    <x v="0"/>
    <x v="2"/>
    <s v="Sydney"/>
    <s v="Priya"/>
    <s v="C163"/>
    <s v="Corporate"/>
    <x v="5"/>
    <s v="Blueberry Muffin"/>
    <s v="N/A"/>
    <n v="3"/>
    <n v="3.92"/>
    <n v="0"/>
    <n v="11.76"/>
    <x v="1"/>
    <x v="2"/>
    <s v="Yes"/>
    <s v="Low Stock"/>
    <n v="3"/>
    <s v="No"/>
  </r>
  <r>
    <n v="1116"/>
    <d v="2026-02-27T00:00:00"/>
    <x v="1"/>
    <x v="4"/>
    <s v="Sydney"/>
    <s v="Noah"/>
    <s v="C122"/>
    <s v="Corporate"/>
    <x v="4"/>
    <s v="Veggie Wrap"/>
    <s v="N/A"/>
    <n v="4"/>
    <n v="7.88"/>
    <n v="0"/>
    <n v="31.52"/>
    <x v="1"/>
    <x v="0"/>
    <s v="No"/>
    <s v="Low Stock"/>
    <n v="3"/>
    <s v="No"/>
  </r>
  <r>
    <n v="1117"/>
    <d v="2026-03-12T00:00:00"/>
    <x v="0"/>
    <x v="1"/>
    <s v="Sydney"/>
    <s v="Sam"/>
    <s v="C125"/>
    <s v="New"/>
    <x v="2"/>
    <s v="Chai Latte"/>
    <s v="S"/>
    <n v="2"/>
    <n v="4.91"/>
    <n v="10"/>
    <n v="8.84"/>
    <x v="3"/>
    <x v="1"/>
    <s v="Yes"/>
    <s v="Low Stock"/>
    <n v="4"/>
    <s v="No"/>
  </r>
  <r>
    <n v="1118"/>
    <d v="2026-03-01T00:00:00"/>
    <x v="0"/>
    <x v="1"/>
    <s v="Sydney"/>
    <s v="Mia"/>
    <s v="C198"/>
    <s v="Returning"/>
    <x v="3"/>
    <s v="Frappa"/>
    <s v="S"/>
    <n v="1"/>
    <n v="5.98"/>
    <n v="5"/>
    <n v="5.68"/>
    <x v="2"/>
    <x v="0"/>
    <s v="Yes"/>
    <s v="Low Stock"/>
    <n v="3"/>
    <s v="No"/>
  </r>
  <r>
    <n v="1119"/>
    <d v="2026-02-27T00:00:00"/>
    <x v="1"/>
    <x v="3"/>
    <s v="Sydney"/>
    <s v="Priya"/>
    <s v="C198"/>
    <s v="New"/>
    <x v="6"/>
    <s v="Cheesecake Slice"/>
    <s v="N/A"/>
    <n v="2"/>
    <n v="5.49"/>
    <n v="10"/>
    <n v="9.8800000000000008"/>
    <x v="1"/>
    <x v="2"/>
    <s v="Yes"/>
    <s v="Available"/>
    <n v="3"/>
    <s v="No"/>
  </r>
  <r>
    <n v="1049"/>
    <d v="2026-02-08T00:00:00"/>
    <x v="1"/>
    <x v="4"/>
    <s v="Sydney"/>
    <s v="Sam"/>
    <s v="C132"/>
    <s v="New"/>
    <x v="3"/>
    <s v="Cold Brew"/>
    <s v="L"/>
    <n v="2"/>
    <n v="7.41"/>
    <n v="10"/>
    <n v="13.34"/>
    <x v="2"/>
    <x v="1"/>
    <s v="Yes"/>
    <s v="Low Stock"/>
    <n v="5"/>
    <s v="No"/>
  </r>
  <r>
    <n v="1121"/>
    <d v="2026-03-06T00:00:00"/>
    <x v="0"/>
    <x v="4"/>
    <s v="Sydney"/>
    <s v="Chris"/>
    <s v="C207"/>
    <s v="Corporate"/>
    <x v="4"/>
    <s v="Ham Toastie"/>
    <s v="N/A"/>
    <n v="2"/>
    <n v="7.85"/>
    <n v="10"/>
    <n v="14.13"/>
    <x v="0"/>
    <x v="0"/>
    <s v="Yes"/>
    <s v="Available"/>
    <n v="3"/>
    <s v="No"/>
  </r>
  <r>
    <n v="1122"/>
    <d v="2026-03-25T00:00:00"/>
    <x v="0"/>
    <x v="4"/>
    <s v="Sydney"/>
    <s v="Taylor"/>
    <s v="C161"/>
    <s v="New"/>
    <x v="1"/>
    <s v="Ground Coffee 500g"/>
    <s v="N/A"/>
    <n v="1"/>
    <n v="18.149999999999999"/>
    <n v="10"/>
    <n v="16.34"/>
    <x v="1"/>
    <x v="1"/>
    <s v="No"/>
    <s v="Available"/>
    <n v="5"/>
    <s v="No"/>
  </r>
  <r>
    <n v="1123"/>
    <d v="2026-01-21T00:00:00"/>
    <x v="2"/>
    <x v="3"/>
    <s v="Sydney"/>
    <s v="Chris"/>
    <s v="C210"/>
    <s v="Corporate"/>
    <x v="5"/>
    <s v="Blueberry Muffin"/>
    <s v="N/A"/>
    <n v="4"/>
    <n v="3.88"/>
    <n v="10"/>
    <n v="13.97"/>
    <x v="4"/>
    <x v="2"/>
    <s v="No"/>
    <s v="Low Stock"/>
    <n v="4"/>
    <s v="No"/>
  </r>
  <r>
    <n v="1124"/>
    <d v="2026-02-17T00:00:00"/>
    <x v="1"/>
    <x v="1"/>
    <s v="Sydney"/>
    <s v="Noah"/>
    <s v="C131"/>
    <s v="New"/>
    <x v="4"/>
    <s v="Chicken Sandwich"/>
    <s v="N/A"/>
    <n v="3"/>
    <n v="7.92"/>
    <n v="0"/>
    <n v="23.76"/>
    <x v="0"/>
    <x v="0"/>
    <s v="No"/>
    <s v="Low Stock"/>
    <n v="5"/>
    <s v="Yes"/>
  </r>
  <r>
    <n v="1125"/>
    <d v="2026-02-01T00:00:00"/>
    <x v="1"/>
    <x v="4"/>
    <s v="Sydney"/>
    <s v="Noah"/>
    <s v="C163"/>
    <s v="Returning"/>
    <x v="1"/>
    <s v="Ground Coffee 500g"/>
    <s v="N/A"/>
    <n v="3"/>
    <n v="17.87"/>
    <n v="0"/>
    <n v="53.61"/>
    <x v="1"/>
    <x v="0"/>
    <s v="Yes"/>
    <s v="Low Stock"/>
    <n v="3"/>
    <s v="Yes"/>
  </r>
  <r>
    <n v="1126"/>
    <d v="2026-01-31T00:00:00"/>
    <x v="2"/>
    <x v="4"/>
    <s v="Sydney"/>
    <s v="Noah"/>
    <s v="C136"/>
    <s v="Corporate"/>
    <x v="4"/>
    <s v="Veggie Wrap"/>
    <s v="N/A"/>
    <n v="1"/>
    <n v="7.75"/>
    <n v="5"/>
    <n v="7.36"/>
    <x v="0"/>
    <x v="0"/>
    <s v="No"/>
    <s v="Available"/>
    <n v="3"/>
    <s v="No"/>
  </r>
  <r>
    <n v="1127"/>
    <d v="2026-02-16T00:00:00"/>
    <x v="1"/>
    <x v="3"/>
    <s v="Sydney"/>
    <s v="Taylor"/>
    <s v="C109"/>
    <s v="Returning"/>
    <x v="2"/>
    <s v="Green Tea"/>
    <s v="M"/>
    <n v="1"/>
    <n v="5.41"/>
    <n v="0"/>
    <n v="5.41"/>
    <x v="2"/>
    <x v="1"/>
    <s v="No"/>
    <s v="Available"/>
    <n v="5"/>
    <s v="No"/>
  </r>
  <r>
    <n v="1128"/>
    <d v="2026-01-13T00:00:00"/>
    <x v="2"/>
    <x v="3"/>
    <s v="Sydney"/>
    <s v="Mia"/>
    <s v="C164"/>
    <s v="New"/>
    <x v="2"/>
    <s v="Chai Latte"/>
    <s v="L"/>
    <n v="3"/>
    <n v="6.28"/>
    <n v="0"/>
    <n v="18.84"/>
    <x v="0"/>
    <x v="0"/>
    <s v="Yes"/>
    <s v="Low Stock"/>
    <n v="3"/>
    <s v="Yes"/>
  </r>
  <r>
    <n v="1129"/>
    <d v="2026-03-08T00:00:00"/>
    <x v="0"/>
    <x v="3"/>
    <s v="Sydney"/>
    <s v="Priya"/>
    <s v="C150"/>
    <s v="Corporate"/>
    <x v="3"/>
    <s v="Frappa"/>
    <s v="L"/>
    <n v="2"/>
    <n v="7.4"/>
    <n v="10"/>
    <n v="13.32"/>
    <x v="4"/>
    <x v="2"/>
    <s v="No"/>
    <s v="Low Stock"/>
    <n v="5"/>
    <s v="No"/>
  </r>
  <r>
    <n v="1130"/>
    <d v="2026-03-02T00:00:00"/>
    <x v="0"/>
    <x v="0"/>
    <s v="Sydney"/>
    <s v="Alex"/>
    <s v="C176"/>
    <s v="Returning"/>
    <x v="2"/>
    <s v="Chai Latte"/>
    <s v="L"/>
    <n v="1"/>
    <n v="6.48"/>
    <n v="10"/>
    <n v="5.83"/>
    <x v="4"/>
    <x v="2"/>
    <s v="Yes"/>
    <s v="Available"/>
    <n v="5"/>
    <s v="Yes"/>
  </r>
  <r>
    <n v="1131"/>
    <d v="2026-01-22T00:00:00"/>
    <x v="2"/>
    <x v="1"/>
    <s v="Sydney"/>
    <s v="Sam"/>
    <s v="C124"/>
    <s v="New"/>
    <x v="6"/>
    <s v="Cheesecake Slice"/>
    <s v="N/A"/>
    <n v="2"/>
    <n v="5.44"/>
    <n v="0"/>
    <n v="10.88"/>
    <x v="1"/>
    <x v="1"/>
    <s v="No"/>
    <s v="Available"/>
    <n v="3"/>
    <s v="Yes"/>
  </r>
  <r>
    <n v="1132"/>
    <d v="2026-03-30T00:00:00"/>
    <x v="0"/>
    <x v="4"/>
    <s v="Sydney"/>
    <s v="Jordan"/>
    <s v="C171"/>
    <s v="Returning"/>
    <x v="5"/>
    <s v="Banana Bread"/>
    <s v="N/A"/>
    <n v="4"/>
    <n v="4.49"/>
    <n v="0"/>
    <n v="17.96"/>
    <x v="1"/>
    <x v="2"/>
    <s v="No"/>
    <s v="Low Stock"/>
    <n v="4"/>
    <s v="No"/>
  </r>
  <r>
    <n v="1133"/>
    <d v="2026-02-28T00:00:00"/>
    <x v="1"/>
    <x v="1"/>
    <s v="Sydney"/>
    <s v="Taylor"/>
    <s v="C171"/>
    <s v="Returning"/>
    <x v="2"/>
    <s v="English Breakfast"/>
    <s v="M"/>
    <n v="3"/>
    <n v="5.45"/>
    <n v="0"/>
    <n v="16.350000000000001"/>
    <x v="3"/>
    <x v="1"/>
    <s v="No"/>
    <s v="Available"/>
    <n v="4"/>
    <s v="Yes"/>
  </r>
  <r>
    <n v="1134"/>
    <d v="2026-02-10T00:00:00"/>
    <x v="1"/>
    <x v="3"/>
    <s v="Sydney"/>
    <s v="Mia"/>
    <s v="C214"/>
    <s v="Returning"/>
    <x v="2"/>
    <s v="English Breakfast"/>
    <s v="L"/>
    <n v="3"/>
    <n v="5.86"/>
    <n v="10"/>
    <n v="15.82"/>
    <x v="4"/>
    <x v="0"/>
    <s v="No"/>
    <s v="Available"/>
    <n v="3"/>
    <s v="No"/>
  </r>
  <r>
    <n v="1135"/>
    <d v="2026-01-11T00:00:00"/>
    <x v="2"/>
    <x v="2"/>
    <s v="Sydney"/>
    <s v="Taylor"/>
    <s v="C219"/>
    <s v="Corporate"/>
    <x v="5"/>
    <s v="Banana Bread"/>
    <s v="N/A"/>
    <n v="3"/>
    <n v="4.37"/>
    <n v="0"/>
    <n v="13.11"/>
    <x v="4"/>
    <x v="0"/>
    <s v="Yes"/>
    <s v="Available"/>
    <n v="4"/>
    <s v="No"/>
  </r>
  <r>
    <n v="1136"/>
    <d v="2026-01-07T00:00:00"/>
    <x v="2"/>
    <x v="1"/>
    <s v="Sydney"/>
    <s v="Sam"/>
    <s v="C187"/>
    <s v="New"/>
    <x v="3"/>
    <s v="Frappa"/>
    <s v="S"/>
    <n v="1"/>
    <n v="5.79"/>
    <n v="0"/>
    <n v="5.79"/>
    <x v="0"/>
    <x v="2"/>
    <s v="Yes"/>
    <s v="Low Stock"/>
    <n v="3"/>
    <s v="Yes"/>
  </r>
  <r>
    <n v="1137"/>
    <d v="2026-03-03T00:00:00"/>
    <x v="0"/>
    <x v="4"/>
    <s v="Sydney"/>
    <s v="Jordan"/>
    <s v="C168"/>
    <s v="Corporate"/>
    <x v="1"/>
    <s v="Ground Coffee 500g"/>
    <s v="N/A"/>
    <n v="3"/>
    <n v="17.96"/>
    <n v="0"/>
    <n v="53.88"/>
    <x v="0"/>
    <x v="0"/>
    <s v="No"/>
    <s v="Available"/>
    <n v="3"/>
    <s v="No"/>
  </r>
  <r>
    <n v="1138"/>
    <d v="2026-02-20T00:00:00"/>
    <x v="1"/>
    <x v="3"/>
    <s v="Sydney"/>
    <s v="Sam"/>
    <s v="C218"/>
    <s v="Returning"/>
    <x v="3"/>
    <s v="Frappa"/>
    <s v="M"/>
    <n v="1"/>
    <n v="6.41"/>
    <n v="10"/>
    <n v="5.77"/>
    <x v="4"/>
    <x v="1"/>
    <s v="No"/>
    <s v="Available"/>
    <n v="3"/>
    <s v="Yes"/>
  </r>
  <r>
    <n v="1139"/>
    <d v="2026-02-04T00:00:00"/>
    <x v="1"/>
    <x v="4"/>
    <s v="Sydney"/>
    <s v="Priya"/>
    <s v="C101"/>
    <s v="Corporate"/>
    <x v="1"/>
    <s v="Coffee Beans 1kg"/>
    <s v="N/A"/>
    <n v="3"/>
    <n v="17.850000000000001"/>
    <n v="5"/>
    <n v="50.87"/>
    <x v="4"/>
    <x v="1"/>
    <s v="Yes"/>
    <s v="Available"/>
    <n v="5"/>
    <s v="Yes"/>
  </r>
  <r>
    <n v="1140"/>
    <d v="2026-02-24T00:00:00"/>
    <x v="1"/>
    <x v="1"/>
    <s v="Sydney"/>
    <s v="Chris"/>
    <s v="C219"/>
    <s v="New"/>
    <x v="2"/>
    <s v="Green Tea"/>
    <s v="M"/>
    <n v="1"/>
    <n v="5.07"/>
    <n v="0"/>
    <n v="5.07"/>
    <x v="0"/>
    <x v="1"/>
    <s v="No"/>
    <s v="Available"/>
    <n v="3"/>
    <s v="Yes"/>
  </r>
  <r>
    <n v="1141"/>
    <d v="2026-02-04T00:00:00"/>
    <x v="1"/>
    <x v="2"/>
    <s v="Sydney"/>
    <s v="Alex"/>
    <s v="C185"/>
    <s v="New"/>
    <x v="2"/>
    <s v="English Breakfast"/>
    <s v="L"/>
    <n v="1"/>
    <n v="5.84"/>
    <n v="0"/>
    <n v="5.84"/>
    <x v="1"/>
    <x v="1"/>
    <s v="Yes"/>
    <s v="Low Stock"/>
    <n v="4"/>
    <s v="No"/>
  </r>
  <r>
    <n v="1142"/>
    <d v="2026-03-30T00:00:00"/>
    <x v="0"/>
    <x v="0"/>
    <s v="Sydney"/>
    <s v="Noah"/>
    <s v="C119"/>
    <s v="Returning"/>
    <x v="6"/>
    <s v="Cheesecake Slice"/>
    <s v="N/A"/>
    <n v="3"/>
    <n v="5.25"/>
    <n v="0"/>
    <n v="15.75"/>
    <x v="2"/>
    <x v="1"/>
    <s v="No"/>
    <s v="Low Stock"/>
    <n v="4"/>
    <s v="No"/>
  </r>
  <r>
    <n v="1143"/>
    <d v="2026-02-01T00:00:00"/>
    <x v="1"/>
    <x v="1"/>
    <s v="Sydney"/>
    <s v="Sam"/>
    <s v="C107"/>
    <s v="Corporate"/>
    <x v="1"/>
    <s v="Coffee Beans 1kg"/>
    <s v="N/A"/>
    <n v="4"/>
    <n v="18.18"/>
    <n v="0"/>
    <n v="72.72"/>
    <x v="2"/>
    <x v="0"/>
    <s v="Yes"/>
    <s v="Available"/>
    <n v="3"/>
    <s v="No"/>
  </r>
  <r>
    <n v="1144"/>
    <d v="2026-03-08T00:00:00"/>
    <x v="0"/>
    <x v="3"/>
    <s v="Sydney"/>
    <s v="Alex"/>
    <s v="C158"/>
    <s v="New"/>
    <x v="0"/>
    <s v="Cappuccino"/>
    <s v="L"/>
    <n v="4"/>
    <n v="6.18"/>
    <n v="10"/>
    <n v="22.25"/>
    <x v="2"/>
    <x v="1"/>
    <s v="No"/>
    <s v="Available"/>
    <n v="3"/>
    <s v="Yes"/>
  </r>
  <r>
    <n v="1145"/>
    <d v="2026-03-28T00:00:00"/>
    <x v="0"/>
    <x v="2"/>
    <s v="Sydney"/>
    <s v="Sam"/>
    <s v="C105"/>
    <s v="Returning"/>
    <x v="6"/>
    <s v="Brownie"/>
    <s v="N/A"/>
    <n v="4"/>
    <n v="4.93"/>
    <n v="0"/>
    <n v="19.72"/>
    <x v="4"/>
    <x v="2"/>
    <s v="Yes"/>
    <s v="Available"/>
    <n v="4"/>
    <s v="No"/>
  </r>
  <r>
    <n v="1146"/>
    <d v="2026-03-02T00:00:00"/>
    <x v="0"/>
    <x v="0"/>
    <s v="Sydney"/>
    <s v="Mia"/>
    <s v="C157"/>
    <s v="Returning"/>
    <x v="2"/>
    <s v="Chai Latte"/>
    <s v="S"/>
    <n v="2"/>
    <n v="4.8899999999999997"/>
    <n v="5"/>
    <n v="9.2899999999999991"/>
    <x v="1"/>
    <x v="0"/>
    <s v="Yes"/>
    <s v="Low Stock"/>
    <n v="5"/>
    <s v="No"/>
  </r>
  <r>
    <n v="1147"/>
    <d v="2026-01-23T00:00:00"/>
    <x v="2"/>
    <x v="1"/>
    <s v="Sydney"/>
    <s v="Alex"/>
    <s v="C138"/>
    <s v="Returning"/>
    <x v="5"/>
    <s v="Banana Bread"/>
    <s v="N/A"/>
    <n v="2"/>
    <n v="4.3600000000000003"/>
    <n v="0"/>
    <n v="8.7200000000000006"/>
    <x v="2"/>
    <x v="1"/>
    <s v="No"/>
    <s v="Available"/>
    <n v="3"/>
    <s v="No"/>
  </r>
  <r>
    <n v="1148"/>
    <d v="2026-02-28T00:00:00"/>
    <x v="1"/>
    <x v="2"/>
    <s v="Sydney"/>
    <s v="Alex"/>
    <s v="C130"/>
    <s v="New"/>
    <x v="3"/>
    <s v="Cold Brew"/>
    <s v="S"/>
    <n v="1"/>
    <n v="5.73"/>
    <n v="5"/>
    <n v="5.44"/>
    <x v="0"/>
    <x v="0"/>
    <s v="Yes"/>
    <s v="Low Stock"/>
    <n v="3"/>
    <s v="No"/>
  </r>
  <r>
    <n v="1149"/>
    <d v="2026-02-01T00:00:00"/>
    <x v="1"/>
    <x v="0"/>
    <s v="Sydney"/>
    <s v="Taylor"/>
    <s v="C129"/>
    <s v="Corporate"/>
    <x v="5"/>
    <s v="Blueberry Muffin"/>
    <s v="N/A"/>
    <n v="2"/>
    <n v="4.1900000000000004"/>
    <n v="0"/>
    <n v="8.3800000000000008"/>
    <x v="2"/>
    <x v="1"/>
    <s v="No"/>
    <s v="Available"/>
    <n v="4"/>
    <s v="No"/>
  </r>
  <r>
    <n v="1150"/>
    <d v="2026-01-19T00:00:00"/>
    <x v="2"/>
    <x v="1"/>
    <s v="Sydney"/>
    <s v="Mia"/>
    <s v="C171"/>
    <s v="Returning"/>
    <x v="3"/>
    <s v="Cold Brew"/>
    <s v="M"/>
    <n v="3"/>
    <n v="6.45"/>
    <n v="10"/>
    <n v="17.420000000000002"/>
    <x v="0"/>
    <x v="1"/>
    <s v="No"/>
    <s v="Low Stock"/>
    <n v="4"/>
    <s v="Yes"/>
  </r>
  <r>
    <n v="1151"/>
    <d v="2026-02-22T00:00:00"/>
    <x v="1"/>
    <x v="4"/>
    <s v="Sydney"/>
    <s v="Priya"/>
    <s v="C203"/>
    <s v="Returning"/>
    <x v="2"/>
    <s v="Chai Latte"/>
    <s v="S"/>
    <n v="4"/>
    <n v="4.42"/>
    <n v="0"/>
    <n v="17.68"/>
    <x v="0"/>
    <x v="2"/>
    <s v="No"/>
    <s v="Low Stock"/>
    <n v="5"/>
    <s v="No"/>
  </r>
  <r>
    <n v="1152"/>
    <d v="2026-02-19T00:00:00"/>
    <x v="1"/>
    <x v="4"/>
    <s v="Sydney"/>
    <s v="Jordan"/>
    <s v="C106"/>
    <s v="Returning"/>
    <x v="2"/>
    <s v="Green Tea"/>
    <s v="M"/>
    <n v="1"/>
    <n v="5.73"/>
    <n v="0"/>
    <n v="5.73"/>
    <x v="1"/>
    <x v="2"/>
    <s v="Yes"/>
    <s v="Available"/>
    <n v="3"/>
    <s v="No"/>
  </r>
  <r>
    <n v="1153"/>
    <d v="2026-03-17T00:00:00"/>
    <x v="0"/>
    <x v="1"/>
    <s v="Sydney"/>
    <s v="Jordan"/>
    <s v="C194"/>
    <s v="New"/>
    <x v="3"/>
    <s v="Cold Brew"/>
    <s v="S"/>
    <n v="3"/>
    <n v="5.97"/>
    <n v="0"/>
    <n v="17.91"/>
    <x v="1"/>
    <x v="0"/>
    <s v="Yes"/>
    <s v="Low Stock"/>
    <n v="4"/>
    <s v="No"/>
  </r>
  <r>
    <n v="1154"/>
    <d v="2026-03-12T00:00:00"/>
    <x v="0"/>
    <x v="2"/>
    <s v="Sydney"/>
    <s v="Taylor"/>
    <s v="C146"/>
    <s v="Corporate"/>
    <x v="1"/>
    <s v="Ground Coffee 500g"/>
    <s v="N/A"/>
    <n v="4"/>
    <n v="18.12"/>
    <n v="0"/>
    <n v="72.48"/>
    <x v="1"/>
    <x v="1"/>
    <s v="Yes"/>
    <s v="Low Stock"/>
    <n v="5"/>
    <s v="No"/>
  </r>
  <r>
    <n v="1155"/>
    <d v="2026-01-27T00:00:00"/>
    <x v="2"/>
    <x v="2"/>
    <s v="Sydney"/>
    <s v="Mia"/>
    <s v="C137"/>
    <s v="New"/>
    <x v="2"/>
    <s v="Chai Latte"/>
    <s v="S"/>
    <n v="2"/>
    <n v="4.87"/>
    <n v="0"/>
    <n v="9.74"/>
    <x v="3"/>
    <x v="1"/>
    <s v="Yes"/>
    <s v="Low Stock"/>
    <n v="5"/>
    <s v="No"/>
  </r>
  <r>
    <n v="1156"/>
    <d v="2026-03-05T00:00:00"/>
    <x v="0"/>
    <x v="1"/>
    <s v="Sydney"/>
    <s v="Noah"/>
    <s v="C121"/>
    <s v="Corporate"/>
    <x v="6"/>
    <s v="Cheesecake Slice"/>
    <s v="N/A"/>
    <n v="3"/>
    <n v="5.39"/>
    <n v="5"/>
    <n v="15.36"/>
    <x v="4"/>
    <x v="0"/>
    <s v="Yes"/>
    <s v="Low Stock"/>
    <n v="3"/>
    <s v="No"/>
  </r>
  <r>
    <n v="1157"/>
    <d v="2026-03-11T00:00:00"/>
    <x v="0"/>
    <x v="0"/>
    <s v="Sydney"/>
    <s v="Mia"/>
    <s v="C117"/>
    <s v="Corporate"/>
    <x v="4"/>
    <s v="Chicken Sandwich"/>
    <s v="N/A"/>
    <n v="1"/>
    <n v="8.5500000000000007"/>
    <n v="0"/>
    <n v="8.5500000000000007"/>
    <x v="3"/>
    <x v="0"/>
    <s v="Yes"/>
    <s v="Available"/>
    <n v="3"/>
    <s v="No"/>
  </r>
  <r>
    <n v="1158"/>
    <d v="2026-03-06T00:00:00"/>
    <x v="0"/>
    <x v="3"/>
    <s v="Sydney"/>
    <s v="Mia"/>
    <s v="C101"/>
    <s v="New"/>
    <x v="2"/>
    <s v="Green Tea"/>
    <s v="L"/>
    <n v="4"/>
    <n v="6.19"/>
    <n v="0"/>
    <n v="24.76"/>
    <x v="2"/>
    <x v="2"/>
    <s v="No"/>
    <s v="Low Stock"/>
    <n v="3"/>
    <s v="No"/>
  </r>
  <r>
    <n v="1159"/>
    <d v="2026-03-06T00:00:00"/>
    <x v="0"/>
    <x v="3"/>
    <s v="Sydney"/>
    <s v="Jordan"/>
    <s v="C124"/>
    <s v="Corporate"/>
    <x v="1"/>
    <s v="Coffee Beans 1kg"/>
    <s v="N/A"/>
    <n v="1"/>
    <n v="18.53"/>
    <n v="10"/>
    <n v="16.68"/>
    <x v="2"/>
    <x v="1"/>
    <s v="No"/>
    <s v="Low Stock"/>
    <n v="4"/>
    <s v="Yes"/>
  </r>
  <r>
    <n v="1160"/>
    <d v="2026-01-11T00:00:00"/>
    <x v="2"/>
    <x v="2"/>
    <s v="Sydney"/>
    <s v="Sam"/>
    <s v="C183"/>
    <s v="Corporate"/>
    <x v="5"/>
    <s v="Blueberry Muffin"/>
    <s v="N/A"/>
    <n v="2"/>
    <n v="4.59"/>
    <n v="0"/>
    <n v="9.18"/>
    <x v="0"/>
    <x v="0"/>
    <s v="No"/>
    <s v="Low Stock"/>
    <n v="5"/>
    <s v="Yes"/>
  </r>
  <r>
    <n v="1161"/>
    <d v="2026-03-12T00:00:00"/>
    <x v="0"/>
    <x v="3"/>
    <s v="Sydney"/>
    <s v="Sam"/>
    <s v="C214"/>
    <s v="Corporate"/>
    <x v="0"/>
    <s v="Latte"/>
    <s v="L"/>
    <n v="2"/>
    <n v="6.17"/>
    <n v="5"/>
    <n v="11.72"/>
    <x v="0"/>
    <x v="0"/>
    <s v="Yes"/>
    <s v="Low Stock"/>
    <n v="5"/>
    <s v="No"/>
  </r>
  <r>
    <n v="1162"/>
    <d v="2026-01-06T00:00:00"/>
    <x v="2"/>
    <x v="0"/>
    <s v="Sydney"/>
    <s v="Jordan"/>
    <s v="C175"/>
    <s v="New"/>
    <x v="6"/>
    <s v="Cheesecake Slice"/>
    <s v="N/A"/>
    <n v="1"/>
    <n v="4.8600000000000003"/>
    <n v="0"/>
    <n v="4.8600000000000003"/>
    <x v="1"/>
    <x v="0"/>
    <s v="No"/>
    <s v="Available"/>
    <n v="3"/>
    <s v="No"/>
  </r>
  <r>
    <n v="1163"/>
    <d v="2026-03-14T00:00:00"/>
    <x v="0"/>
    <x v="3"/>
    <s v="Sydney"/>
    <s v="Chris"/>
    <s v="C106"/>
    <s v="New"/>
    <x v="6"/>
    <s v="Cheesecake Slice"/>
    <s v="N/A"/>
    <n v="4"/>
    <n v="5.38"/>
    <n v="0"/>
    <n v="21.52"/>
    <x v="1"/>
    <x v="0"/>
    <s v="Yes"/>
    <s v="Low Stock"/>
    <n v="3"/>
    <s v="Yes"/>
  </r>
  <r>
    <n v="1164"/>
    <d v="2026-02-11T00:00:00"/>
    <x v="1"/>
    <x v="0"/>
    <s v="Sydney"/>
    <s v="Mia"/>
    <s v="C155"/>
    <s v="New"/>
    <x v="6"/>
    <s v="Cheesecake Slice"/>
    <s v="N/A"/>
    <n v="4"/>
    <n v="5.14"/>
    <n v="0"/>
    <n v="20.56"/>
    <x v="2"/>
    <x v="2"/>
    <s v="No"/>
    <s v="Available"/>
    <n v="3"/>
    <s v="No"/>
  </r>
  <r>
    <n v="1165"/>
    <d v="2026-02-01T00:00:00"/>
    <x v="1"/>
    <x v="0"/>
    <s v="Sydney"/>
    <s v="Chris"/>
    <s v="C146"/>
    <s v="New"/>
    <x v="0"/>
    <s v="Flat White"/>
    <s v="S"/>
    <n v="4"/>
    <n v="5.34"/>
    <n v="0"/>
    <n v="21.36"/>
    <x v="0"/>
    <x v="0"/>
    <s v="No"/>
    <s v="Low Stock"/>
    <n v="3"/>
    <s v="No"/>
  </r>
  <r>
    <n v="1166"/>
    <d v="2026-02-04T00:00:00"/>
    <x v="1"/>
    <x v="0"/>
    <s v="Sydney"/>
    <s v="Mia"/>
    <s v="C113"/>
    <s v="New"/>
    <x v="3"/>
    <s v="Iced Latte"/>
    <s v="S"/>
    <n v="4"/>
    <n v="6.1"/>
    <n v="10"/>
    <n v="21.96"/>
    <x v="0"/>
    <x v="1"/>
    <s v="Yes"/>
    <s v="Low Stock"/>
    <n v="3"/>
    <s v="Yes"/>
  </r>
  <r>
    <n v="1167"/>
    <d v="2026-01-02T00:00:00"/>
    <x v="2"/>
    <x v="2"/>
    <s v="Sydney"/>
    <s v="Priya"/>
    <s v="C187"/>
    <s v="Returning"/>
    <x v="5"/>
    <s v="Blueberry Muffin"/>
    <s v="N/A"/>
    <n v="1"/>
    <n v="4.3499999999999996"/>
    <n v="10"/>
    <n v="3.91"/>
    <x v="3"/>
    <x v="0"/>
    <s v="No"/>
    <s v="Low Stock"/>
    <n v="4"/>
    <s v="No"/>
  </r>
  <r>
    <n v="1168"/>
    <d v="2026-03-05T00:00:00"/>
    <x v="0"/>
    <x v="4"/>
    <s v="Sydney"/>
    <s v="Chris"/>
    <s v="C132"/>
    <s v="New"/>
    <x v="0"/>
    <s v="Cappuccino"/>
    <s v="M"/>
    <n v="3"/>
    <n v="5.78"/>
    <n v="5"/>
    <n v="16.47"/>
    <x v="1"/>
    <x v="2"/>
    <s v="Yes"/>
    <s v="Low Stock"/>
    <n v="3"/>
    <s v="No"/>
  </r>
  <r>
    <n v="1169"/>
    <d v="2026-01-18T00:00:00"/>
    <x v="2"/>
    <x v="2"/>
    <s v="Sydney"/>
    <s v="Chris"/>
    <s v="C155"/>
    <s v="Corporate"/>
    <x v="0"/>
    <s v="Mocha"/>
    <s v="M"/>
    <n v="4"/>
    <n v="6.12"/>
    <n v="0"/>
    <n v="24.48"/>
    <x v="2"/>
    <x v="0"/>
    <s v="No"/>
    <s v="Low Stock"/>
    <n v="3"/>
    <s v="No"/>
  </r>
  <r>
    <n v="1170"/>
    <d v="2026-03-03T00:00:00"/>
    <x v="0"/>
    <x v="2"/>
    <s v="Sydney"/>
    <s v="Jordan"/>
    <s v="C141"/>
    <s v="Returning"/>
    <x v="3"/>
    <s v="Cold Brew"/>
    <s v="M"/>
    <n v="3"/>
    <n v="7.06"/>
    <n v="5"/>
    <n v="20.12"/>
    <x v="4"/>
    <x v="1"/>
    <s v="No"/>
    <s v="Available"/>
    <n v="3"/>
    <s v="No"/>
  </r>
  <r>
    <n v="1171"/>
    <d v="2026-03-17T00:00:00"/>
    <x v="0"/>
    <x v="1"/>
    <s v="Sydney"/>
    <s v="Noah"/>
    <s v="C202"/>
    <s v="Returning"/>
    <x v="3"/>
    <s v="Frappa"/>
    <s v="L"/>
    <n v="1"/>
    <n v="7.96"/>
    <n v="5"/>
    <n v="7.56"/>
    <x v="0"/>
    <x v="1"/>
    <s v="No"/>
    <s v="Available"/>
    <n v="4"/>
    <s v="No"/>
  </r>
  <r>
    <n v="1172"/>
    <d v="2026-01-31T00:00:00"/>
    <x v="2"/>
    <x v="2"/>
    <s v="Sydney"/>
    <s v="Noah"/>
    <s v="C174"/>
    <s v="Returning"/>
    <x v="6"/>
    <s v="Brownie"/>
    <s v="N/A"/>
    <n v="4"/>
    <n v="5.41"/>
    <n v="0"/>
    <n v="21.64"/>
    <x v="2"/>
    <x v="2"/>
    <s v="No"/>
    <s v="Available"/>
    <n v="3"/>
    <s v="No"/>
  </r>
  <r>
    <n v="1173"/>
    <d v="2026-03-31T00:00:00"/>
    <x v="0"/>
    <x v="1"/>
    <s v="Sydney"/>
    <s v="Priya"/>
    <s v="C182"/>
    <s v="Corporate"/>
    <x v="4"/>
    <s v="Ham Toastie"/>
    <s v="N/A"/>
    <n v="1"/>
    <n v="7.8"/>
    <n v="0"/>
    <n v="7.8"/>
    <x v="0"/>
    <x v="2"/>
    <s v="No"/>
    <s v="Low Stock"/>
    <n v="5"/>
    <s v="Yes"/>
  </r>
  <r>
    <n v="1174"/>
    <d v="2026-01-14T00:00:00"/>
    <x v="2"/>
    <x v="0"/>
    <s v="Sydney"/>
    <s v="Priya"/>
    <s v="C144"/>
    <s v="New"/>
    <x v="0"/>
    <s v="Flat White"/>
    <s v="S"/>
    <n v="2"/>
    <n v="5.0999999999999996"/>
    <n v="5"/>
    <n v="9.69"/>
    <x v="1"/>
    <x v="0"/>
    <s v="No"/>
    <s v="Low Stock"/>
    <n v="3"/>
    <s v="No"/>
  </r>
  <r>
    <n v="1175"/>
    <d v="2026-01-15T00:00:00"/>
    <x v="2"/>
    <x v="4"/>
    <s v="Sydney"/>
    <s v="Chris"/>
    <s v="C160"/>
    <s v="New"/>
    <x v="2"/>
    <s v="Chai Latte"/>
    <s v="M"/>
    <n v="4"/>
    <n v="5.61"/>
    <n v="10"/>
    <n v="20.2"/>
    <x v="1"/>
    <x v="2"/>
    <s v="No"/>
    <s v="Low Stock"/>
    <n v="3"/>
    <s v="No"/>
  </r>
  <r>
    <n v="1176"/>
    <d v="2026-02-08T00:00:00"/>
    <x v="1"/>
    <x v="0"/>
    <s v="Sydney"/>
    <s v="Jordan"/>
    <s v="C166"/>
    <s v="New"/>
    <x v="1"/>
    <s v="Coffee Beans 1kg"/>
    <s v="N/A"/>
    <n v="1"/>
    <n v="18.46"/>
    <n v="0"/>
    <n v="18.46"/>
    <x v="2"/>
    <x v="0"/>
    <s v="No"/>
    <s v="Low Stock"/>
    <n v="4"/>
    <s v="Yes"/>
  </r>
  <r>
    <n v="1177"/>
    <d v="2026-01-30T00:00:00"/>
    <x v="2"/>
    <x v="3"/>
    <s v="Sydney"/>
    <s v="Alex"/>
    <s v="C194"/>
    <s v="Corporate"/>
    <x v="6"/>
    <s v="Brownie"/>
    <s v="N/A"/>
    <n v="2"/>
    <n v="5.28"/>
    <n v="5"/>
    <n v="10.029999999999999"/>
    <x v="3"/>
    <x v="1"/>
    <s v="No"/>
    <s v="Low Stock"/>
    <n v="3"/>
    <s v="No"/>
  </r>
  <r>
    <n v="1178"/>
    <d v="2026-01-28T00:00:00"/>
    <x v="2"/>
    <x v="4"/>
    <s v="Sydney"/>
    <s v="Chris"/>
    <s v="C141"/>
    <s v="New"/>
    <x v="2"/>
    <s v="English Breakfast"/>
    <s v="S"/>
    <n v="1"/>
    <n v="4.92"/>
    <n v="10"/>
    <n v="4.43"/>
    <x v="1"/>
    <x v="0"/>
    <s v="No"/>
    <s v="Low Stock"/>
    <n v="4"/>
    <s v="No"/>
  </r>
  <r>
    <n v="1179"/>
    <d v="2026-03-18T00:00:00"/>
    <x v="0"/>
    <x v="3"/>
    <s v="Sydney"/>
    <s v="Priya"/>
    <s v="C204"/>
    <s v="Corporate"/>
    <x v="4"/>
    <s v="Veggie Wrap"/>
    <s v="N/A"/>
    <n v="1"/>
    <n v="8.01"/>
    <n v="5"/>
    <n v="7.61"/>
    <x v="4"/>
    <x v="2"/>
    <s v="Yes"/>
    <s v="Available"/>
    <n v="3"/>
    <s v="No"/>
  </r>
  <r>
    <n v="1180"/>
    <d v="2026-01-16T00:00:00"/>
    <x v="2"/>
    <x v="4"/>
    <s v="Sydney"/>
    <s v="Mia"/>
    <s v="C176"/>
    <s v="New"/>
    <x v="2"/>
    <s v="Green Tea"/>
    <s v="S"/>
    <n v="3"/>
    <n v="4.82"/>
    <n v="10"/>
    <n v="13.01"/>
    <x v="2"/>
    <x v="1"/>
    <s v="No"/>
    <s v="Available"/>
    <n v="3"/>
    <s v="Yes"/>
  </r>
  <r>
    <n v="1181"/>
    <d v="2026-03-23T00:00:00"/>
    <x v="0"/>
    <x v="1"/>
    <s v="Sydney"/>
    <s v="Chris"/>
    <s v="C207"/>
    <s v="Returning"/>
    <x v="6"/>
    <s v="Brownie"/>
    <s v="N/A"/>
    <n v="2"/>
    <n v="5.14"/>
    <n v="0"/>
    <n v="10.28"/>
    <x v="2"/>
    <x v="0"/>
    <s v="No"/>
    <s v="Available"/>
    <n v="4"/>
    <s v="Yes"/>
  </r>
  <r>
    <n v="1182"/>
    <d v="2026-01-18T00:00:00"/>
    <x v="2"/>
    <x v="4"/>
    <s v="Sydney"/>
    <s v="Noah"/>
    <s v="C162"/>
    <s v="New"/>
    <x v="1"/>
    <s v="Ground Coffee 500g"/>
    <s v="N/A"/>
    <n v="4"/>
    <n v="18.07"/>
    <n v="5"/>
    <n v="68.67"/>
    <x v="0"/>
    <x v="2"/>
    <s v="Yes"/>
    <s v="Available"/>
    <n v="3"/>
    <s v="No"/>
  </r>
  <r>
    <n v="1183"/>
    <d v="2026-01-05T00:00:00"/>
    <x v="2"/>
    <x v="2"/>
    <s v="Sydney"/>
    <s v="Sam"/>
    <s v="C173"/>
    <s v="New"/>
    <x v="3"/>
    <s v="Frappa"/>
    <s v="M"/>
    <n v="2"/>
    <n v="7.1"/>
    <n v="10"/>
    <n v="12.78"/>
    <x v="4"/>
    <x v="2"/>
    <s v="No"/>
    <s v="Available"/>
    <n v="3"/>
    <s v="Yes"/>
  </r>
  <r>
    <n v="1184"/>
    <d v="2026-03-11T00:00:00"/>
    <x v="0"/>
    <x v="4"/>
    <s v="Sydney"/>
    <s v="Taylor"/>
    <s v="C144"/>
    <s v="New"/>
    <x v="5"/>
    <s v="Croissant"/>
    <s v="N/A"/>
    <n v="2"/>
    <n v="3.97"/>
    <n v="0"/>
    <n v="7.94"/>
    <x v="1"/>
    <x v="0"/>
    <s v="Yes"/>
    <s v="Available"/>
    <n v="3"/>
    <s v="No"/>
  </r>
  <r>
    <n v="1185"/>
    <d v="2026-03-20T00:00:00"/>
    <x v="0"/>
    <x v="3"/>
    <s v="Sydney"/>
    <s v="Chris"/>
    <s v="C168"/>
    <s v="Returning"/>
    <x v="3"/>
    <s v="Frappa"/>
    <s v="S"/>
    <n v="2"/>
    <n v="6.43"/>
    <n v="0"/>
    <n v="12.86"/>
    <x v="2"/>
    <x v="2"/>
    <s v="Yes"/>
    <s v="Low Stock"/>
    <n v="3"/>
    <s v="No"/>
  </r>
  <r>
    <n v="1186"/>
    <d v="2026-02-07T00:00:00"/>
    <x v="1"/>
    <x v="1"/>
    <s v="Sydney"/>
    <s v="Taylor"/>
    <s v="C210"/>
    <s v="Corporate"/>
    <x v="2"/>
    <s v="English Breakfast"/>
    <s v="L"/>
    <n v="1"/>
    <n v="5.72"/>
    <n v="5"/>
    <n v="5.43"/>
    <x v="3"/>
    <x v="2"/>
    <s v="Yes"/>
    <s v="Available"/>
    <n v="3"/>
    <s v="No"/>
  </r>
  <r>
    <n v="1187"/>
    <d v="2026-02-11T00:00:00"/>
    <x v="1"/>
    <x v="4"/>
    <s v="Sydney"/>
    <s v="Mia"/>
    <s v="C157"/>
    <s v="New"/>
    <x v="1"/>
    <s v="Ground Coffee 500g"/>
    <s v="N/A"/>
    <n v="4"/>
    <n v="17.829999999999998"/>
    <n v="0"/>
    <n v="71.319999999999993"/>
    <x v="0"/>
    <x v="1"/>
    <s v="No"/>
    <s v="Low Stock"/>
    <n v="3"/>
    <s v="Yes"/>
  </r>
  <r>
    <n v="1188"/>
    <d v="2026-03-04T00:00:00"/>
    <x v="0"/>
    <x v="2"/>
    <s v="Sydney"/>
    <s v="Sam"/>
    <s v="C201"/>
    <s v="Corporate"/>
    <x v="4"/>
    <s v="Chicken Sandwich"/>
    <s v="N/A"/>
    <n v="1"/>
    <n v="8.36"/>
    <n v="5"/>
    <n v="7.94"/>
    <x v="1"/>
    <x v="0"/>
    <s v="No"/>
    <s v="Available"/>
    <n v="5"/>
    <s v="Yes"/>
  </r>
  <r>
    <n v="1189"/>
    <d v="2026-02-04T00:00:00"/>
    <x v="1"/>
    <x v="2"/>
    <s v="Sydney"/>
    <s v="Noah"/>
    <s v="C200"/>
    <s v="Returning"/>
    <x v="1"/>
    <s v="Ground Coffee 500g"/>
    <s v="N/A"/>
    <n v="3"/>
    <n v="18.190000000000001"/>
    <n v="0"/>
    <n v="54.57"/>
    <x v="0"/>
    <x v="0"/>
    <s v="Yes"/>
    <s v="Low Stock"/>
    <n v="3"/>
    <s v="No"/>
  </r>
  <r>
    <n v="1190"/>
    <d v="2026-01-16T00:00:00"/>
    <x v="2"/>
    <x v="4"/>
    <s v="Sydney"/>
    <s v="Priya"/>
    <s v="C212"/>
    <s v="Corporate"/>
    <x v="5"/>
    <s v="Blueberry Muffin"/>
    <s v="N/A"/>
    <n v="1"/>
    <n v="4.59"/>
    <n v="5"/>
    <n v="4.3600000000000003"/>
    <x v="4"/>
    <x v="0"/>
    <s v="No"/>
    <s v="Available"/>
    <n v="4"/>
    <s v="No"/>
  </r>
  <r>
    <n v="1191"/>
    <d v="2026-02-02T00:00:00"/>
    <x v="1"/>
    <x v="0"/>
    <s v="Sydney"/>
    <s v="Mia"/>
    <s v="C183"/>
    <s v="New"/>
    <x v="2"/>
    <s v="English Breakfast"/>
    <s v="L"/>
    <n v="2"/>
    <n v="5.65"/>
    <n v="0"/>
    <n v="11.3"/>
    <x v="0"/>
    <x v="0"/>
    <s v="Yes"/>
    <s v="Low Stock"/>
    <n v="4"/>
    <s v="No"/>
  </r>
  <r>
    <n v="1192"/>
    <d v="2026-01-17T00:00:00"/>
    <x v="2"/>
    <x v="1"/>
    <s v="Sydney"/>
    <s v="Mia"/>
    <s v="C188"/>
    <s v="New"/>
    <x v="3"/>
    <s v="Frappa"/>
    <s v="L"/>
    <n v="4"/>
    <n v="7.11"/>
    <n v="0"/>
    <n v="28.44"/>
    <x v="1"/>
    <x v="0"/>
    <s v="Yes"/>
    <s v="Low Stock"/>
    <n v="3"/>
    <s v="No"/>
  </r>
  <r>
    <n v="1193"/>
    <d v="2026-01-14T00:00:00"/>
    <x v="2"/>
    <x v="0"/>
    <s v="Sydney"/>
    <s v="Sam"/>
    <s v="C167"/>
    <s v="Corporate"/>
    <x v="2"/>
    <s v="Chai Latte"/>
    <s v="M"/>
    <n v="2"/>
    <n v="5.24"/>
    <n v="0"/>
    <n v="10.48"/>
    <x v="0"/>
    <x v="2"/>
    <s v="Yes"/>
    <s v="Low Stock"/>
    <n v="4"/>
    <s v="No"/>
  </r>
  <r>
    <n v="1194"/>
    <d v="2026-01-28T00:00:00"/>
    <x v="2"/>
    <x v="4"/>
    <s v="Sydney"/>
    <s v="Priya"/>
    <s v="C196"/>
    <s v="New"/>
    <x v="5"/>
    <s v="Banana Bread"/>
    <s v="N/A"/>
    <n v="4"/>
    <n v="4.47"/>
    <n v="0"/>
    <n v="17.88"/>
    <x v="2"/>
    <x v="2"/>
    <s v="No"/>
    <s v="Low Stock"/>
    <n v="3"/>
    <s v="Yes"/>
  </r>
  <r>
    <n v="1195"/>
    <d v="2026-02-10T00:00:00"/>
    <x v="1"/>
    <x v="4"/>
    <s v="Sydney"/>
    <s v="Taylor"/>
    <s v="C199"/>
    <s v="Corporate"/>
    <x v="3"/>
    <s v="Cold Brew"/>
    <s v="L"/>
    <n v="1"/>
    <n v="7.32"/>
    <n v="10"/>
    <n v="6.59"/>
    <x v="0"/>
    <x v="2"/>
    <s v="No"/>
    <s v="Available"/>
    <n v="3"/>
    <s v="No"/>
  </r>
  <r>
    <n v="1196"/>
    <d v="2026-02-20T00:00:00"/>
    <x v="1"/>
    <x v="2"/>
    <s v="Sydney"/>
    <s v="Noah"/>
    <s v="C181"/>
    <s v="Corporate"/>
    <x v="6"/>
    <s v="Brownie"/>
    <s v="N/A"/>
    <n v="2"/>
    <n v="5.15"/>
    <n v="0"/>
    <n v="10.3"/>
    <x v="0"/>
    <x v="2"/>
    <s v="Yes"/>
    <s v="Low Stock"/>
    <n v="4"/>
    <s v="No"/>
  </r>
  <r>
    <n v="1197"/>
    <d v="2026-01-17T00:00:00"/>
    <x v="2"/>
    <x v="3"/>
    <s v="Sydney"/>
    <s v="Sam"/>
    <s v="C102"/>
    <s v="Corporate"/>
    <x v="1"/>
    <s v="Ground Coffee 500g"/>
    <s v="N/A"/>
    <n v="3"/>
    <n v="18.190000000000001"/>
    <n v="0"/>
    <n v="54.57"/>
    <x v="0"/>
    <x v="0"/>
    <s v="No"/>
    <s v="Available"/>
    <n v="3"/>
    <s v="No"/>
  </r>
  <r>
    <n v="1198"/>
    <d v="2026-01-08T00:00:00"/>
    <x v="2"/>
    <x v="3"/>
    <s v="Sydney"/>
    <s v="Priya"/>
    <s v="C135"/>
    <s v="New"/>
    <x v="4"/>
    <s v="Veggie Wrap"/>
    <s v="N/A"/>
    <n v="4"/>
    <n v="8.08"/>
    <n v="5"/>
    <n v="30.7"/>
    <x v="4"/>
    <x v="0"/>
    <s v="Yes"/>
    <s v="Available"/>
    <n v="3"/>
    <s v="No"/>
  </r>
  <r>
    <n v="1199"/>
    <d v="2026-02-20T00:00:00"/>
    <x v="1"/>
    <x v="1"/>
    <s v="Sydney"/>
    <s v="Jordan"/>
    <s v="C111"/>
    <s v="Returning"/>
    <x v="6"/>
    <s v="Brownie"/>
    <s v="N/A"/>
    <n v="3"/>
    <n v="5.33"/>
    <n v="0"/>
    <n v="15.99"/>
    <x v="0"/>
    <x v="1"/>
    <s v="Yes"/>
    <s v="Low Stock"/>
    <n v="3"/>
    <s v="No"/>
  </r>
  <r>
    <n v="1200"/>
    <d v="2026-01-16T00:00:00"/>
    <x v="2"/>
    <x v="0"/>
    <s v="Sydney"/>
    <s v="Taylor"/>
    <s v="C121"/>
    <s v="Returning"/>
    <x v="6"/>
    <s v="Brownie"/>
    <s v="N/A"/>
    <n v="1"/>
    <n v="4.8499999999999996"/>
    <n v="0"/>
    <n v="4.8499999999999996"/>
    <x v="3"/>
    <x v="2"/>
    <s v="No"/>
    <s v="Available"/>
    <n v="3"/>
    <s v="No"/>
  </r>
  <r>
    <n v="1201"/>
    <d v="2026-02-12T00:00:00"/>
    <x v="1"/>
    <x v="3"/>
    <s v="Sydney"/>
    <s v="Noah"/>
    <s v="C158"/>
    <s v="Corporate"/>
    <x v="2"/>
    <s v="English Breakfast"/>
    <s v="S"/>
    <n v="3"/>
    <n v="4.84"/>
    <n v="10"/>
    <n v="13.07"/>
    <x v="4"/>
    <x v="0"/>
    <s v="No"/>
    <s v="Available"/>
    <n v="3"/>
    <s v="No"/>
  </r>
  <r>
    <n v="1202"/>
    <d v="2026-01-21T00:00:00"/>
    <x v="2"/>
    <x v="2"/>
    <s v="Sydney"/>
    <s v="Alex"/>
    <s v="C209"/>
    <s v="New"/>
    <x v="1"/>
    <s v="Coffee Beans 1kg"/>
    <s v="N/A"/>
    <n v="1"/>
    <n v="17.91"/>
    <n v="10"/>
    <n v="16.12"/>
    <x v="3"/>
    <x v="0"/>
    <s v="No"/>
    <s v="Low Stock"/>
    <n v="3"/>
    <s v="Yes"/>
  </r>
  <r>
    <n v="1203"/>
    <d v="2026-01-20T00:00:00"/>
    <x v="2"/>
    <x v="4"/>
    <s v="Sydney"/>
    <s v="Chris"/>
    <s v="C134"/>
    <s v="New"/>
    <x v="1"/>
    <s v="Coffee Beans 1kg"/>
    <s v="N/A"/>
    <n v="4"/>
    <n v="17.899999999999999"/>
    <n v="0"/>
    <n v="71.599999999999994"/>
    <x v="2"/>
    <x v="1"/>
    <s v="Yes"/>
    <s v="Available"/>
    <n v="3"/>
    <s v="No"/>
  </r>
  <r>
    <n v="1204"/>
    <d v="2026-01-29T00:00:00"/>
    <x v="2"/>
    <x v="1"/>
    <s v="Sydney"/>
    <s v="Sam"/>
    <s v="C170"/>
    <s v="Returning"/>
    <x v="0"/>
    <s v="Mocha"/>
    <s v="S"/>
    <n v="4"/>
    <n v="5.48"/>
    <n v="0"/>
    <n v="21.92"/>
    <x v="0"/>
    <x v="1"/>
    <s v="Yes"/>
    <s v="Low Stock"/>
    <n v="5"/>
    <s v="No"/>
  </r>
  <r>
    <n v="1205"/>
    <d v="2026-03-21T00:00:00"/>
    <x v="0"/>
    <x v="4"/>
    <s v="Sydney"/>
    <s v="Jordan"/>
    <s v="C119"/>
    <s v="New"/>
    <x v="5"/>
    <s v="Blueberry Muffin"/>
    <s v="N/A"/>
    <n v="4"/>
    <n v="4.5999999999999996"/>
    <n v="0"/>
    <n v="18.399999999999999"/>
    <x v="1"/>
    <x v="0"/>
    <s v="Yes"/>
    <s v="Low Stock"/>
    <n v="3"/>
    <s v="No"/>
  </r>
  <r>
    <n v="1206"/>
    <d v="2026-02-12T00:00:00"/>
    <x v="1"/>
    <x v="0"/>
    <s v="Sydney"/>
    <s v="Mia"/>
    <s v="C162"/>
    <s v="New"/>
    <x v="1"/>
    <s v="Ground Coffee 500g"/>
    <s v="N/A"/>
    <n v="3"/>
    <n v="17.79"/>
    <n v="10"/>
    <n v="48.03"/>
    <x v="3"/>
    <x v="2"/>
    <s v="No"/>
    <s v="Available"/>
    <n v="4"/>
    <s v="No"/>
  </r>
  <r>
    <n v="1207"/>
    <d v="2026-01-30T00:00:00"/>
    <x v="2"/>
    <x v="1"/>
    <s v="Sydney"/>
    <s v="Sam"/>
    <s v="C164"/>
    <s v="New"/>
    <x v="5"/>
    <s v="Banana Bread"/>
    <s v="N/A"/>
    <n v="3"/>
    <n v="4.1100000000000003"/>
    <n v="0"/>
    <n v="12.33"/>
    <x v="1"/>
    <x v="0"/>
    <s v="Yes"/>
    <s v="Low Stock"/>
    <n v="3"/>
    <s v="No"/>
  </r>
  <r>
    <n v="1208"/>
    <d v="2026-01-31T00:00:00"/>
    <x v="2"/>
    <x v="2"/>
    <s v="Sydney"/>
    <s v="Sam"/>
    <s v="C220"/>
    <s v="New"/>
    <x v="2"/>
    <s v="Chai Latte"/>
    <s v="M"/>
    <n v="3"/>
    <n v="5.19"/>
    <n v="0"/>
    <n v="15.57"/>
    <x v="3"/>
    <x v="2"/>
    <s v="Yes"/>
    <s v="Available"/>
    <n v="4"/>
    <s v="No"/>
  </r>
  <r>
    <n v="1209"/>
    <d v="2026-01-22T00:00:00"/>
    <x v="2"/>
    <x v="3"/>
    <s v="Sydney"/>
    <s v="Noah"/>
    <s v="C139"/>
    <s v="Returning"/>
    <x v="5"/>
    <s v="Blueberry Muffin"/>
    <s v="N/A"/>
    <n v="4"/>
    <n v="3.81"/>
    <n v="0"/>
    <n v="15.24"/>
    <x v="4"/>
    <x v="0"/>
    <s v="Yes"/>
    <s v="Available"/>
    <n v="4"/>
    <s v="No"/>
  </r>
  <r>
    <n v="1210"/>
    <d v="2026-03-31T00:00:00"/>
    <x v="0"/>
    <x v="1"/>
    <s v="Sydney"/>
    <s v="Mia"/>
    <s v="C165"/>
    <s v="New"/>
    <x v="0"/>
    <s v="Cappuccino"/>
    <s v="M"/>
    <n v="2"/>
    <n v="5.48"/>
    <n v="0"/>
    <n v="10.96"/>
    <x v="4"/>
    <x v="1"/>
    <s v="Yes"/>
    <s v="Available"/>
    <n v="5"/>
    <s v="Yes"/>
  </r>
  <r>
    <n v="1211"/>
    <d v="2026-02-27T00:00:00"/>
    <x v="1"/>
    <x v="1"/>
    <s v="Sydney"/>
    <s v="Alex"/>
    <s v="C107"/>
    <s v="New"/>
    <x v="6"/>
    <s v="Brownie"/>
    <s v="N/A"/>
    <n v="1"/>
    <n v="5.12"/>
    <n v="0"/>
    <n v="5.12"/>
    <x v="3"/>
    <x v="0"/>
    <s v="No"/>
    <s v="Low Stock"/>
    <n v="3"/>
    <s v="No"/>
  </r>
  <r>
    <n v="1212"/>
    <d v="2026-03-16T00:00:00"/>
    <x v="0"/>
    <x v="1"/>
    <s v="Sydney"/>
    <s v="Sam"/>
    <s v="C215"/>
    <s v="Returning"/>
    <x v="2"/>
    <s v="Green Tea"/>
    <s v="S"/>
    <n v="1"/>
    <n v="4.38"/>
    <n v="5"/>
    <n v="4.16"/>
    <x v="0"/>
    <x v="0"/>
    <s v="No"/>
    <s v="Available"/>
    <n v="4"/>
    <s v="No"/>
  </r>
  <r>
    <n v="1213"/>
    <d v="2026-03-15T00:00:00"/>
    <x v="0"/>
    <x v="3"/>
    <s v="Sydney"/>
    <s v="Chris"/>
    <s v="C127"/>
    <s v="New"/>
    <x v="1"/>
    <s v="Ground Coffee 500g"/>
    <s v="N/A"/>
    <n v="4"/>
    <n v="17.73"/>
    <n v="5"/>
    <n v="67.37"/>
    <x v="4"/>
    <x v="1"/>
    <s v="No"/>
    <s v="Available"/>
    <n v="4"/>
    <s v="No"/>
  </r>
  <r>
    <n v="1214"/>
    <d v="2026-03-20T00:00:00"/>
    <x v="0"/>
    <x v="1"/>
    <s v="Sydney"/>
    <s v="Alex"/>
    <s v="C111"/>
    <s v="Returning"/>
    <x v="4"/>
    <s v="Chicken Sandwich"/>
    <s v="N/A"/>
    <n v="3"/>
    <n v="8.15"/>
    <n v="10"/>
    <n v="22.01"/>
    <x v="1"/>
    <x v="0"/>
    <s v="No"/>
    <s v="Available"/>
    <n v="3"/>
    <s v="No"/>
  </r>
  <r>
    <n v="1215"/>
    <d v="2026-03-22T00:00:00"/>
    <x v="0"/>
    <x v="1"/>
    <s v="Sydney"/>
    <s v="Noah"/>
    <s v="C144"/>
    <s v="Corporate"/>
    <x v="1"/>
    <s v="Coffee Beans 1kg"/>
    <s v="N/A"/>
    <n v="4"/>
    <n v="18.399999999999999"/>
    <n v="0"/>
    <n v="73.599999999999994"/>
    <x v="2"/>
    <x v="1"/>
    <s v="No"/>
    <s v="Low Stock"/>
    <n v="3"/>
    <s v="No"/>
  </r>
  <r>
    <n v="1216"/>
    <d v="2026-01-04T00:00:00"/>
    <x v="2"/>
    <x v="2"/>
    <s v="Sydney"/>
    <s v="Noah"/>
    <s v="C167"/>
    <s v="Returning"/>
    <x v="4"/>
    <s v="Chicken Sandwich"/>
    <s v="N/A"/>
    <n v="1"/>
    <n v="8.51"/>
    <n v="0"/>
    <n v="8.51"/>
    <x v="2"/>
    <x v="0"/>
    <s v="Yes"/>
    <s v="Available"/>
    <n v="3"/>
    <s v="No"/>
  </r>
  <r>
    <n v="1217"/>
    <d v="2026-03-26T00:00:00"/>
    <x v="0"/>
    <x v="4"/>
    <s v="Sydney"/>
    <s v="Mia"/>
    <s v="C145"/>
    <s v="New"/>
    <x v="2"/>
    <s v="English Breakfast"/>
    <s v="L"/>
    <n v="1"/>
    <n v="6.29"/>
    <n v="0"/>
    <n v="6.29"/>
    <x v="3"/>
    <x v="0"/>
    <s v="No"/>
    <s v="Low Stock"/>
    <n v="3"/>
    <s v="No"/>
  </r>
  <r>
    <n v="1218"/>
    <d v="2026-03-31T00:00:00"/>
    <x v="0"/>
    <x v="2"/>
    <s v="Sydney"/>
    <s v="Taylor"/>
    <s v="C122"/>
    <s v="Returning"/>
    <x v="4"/>
    <s v="Ham Toastie"/>
    <s v="N/A"/>
    <n v="2"/>
    <n v="8.2100000000000009"/>
    <n v="0"/>
    <n v="16.420000000000002"/>
    <x v="0"/>
    <x v="0"/>
    <s v="Yes"/>
    <s v="Available"/>
    <n v="3"/>
    <s v="No"/>
  </r>
  <r>
    <n v="1219"/>
    <d v="2026-01-03T00:00:00"/>
    <x v="2"/>
    <x v="1"/>
    <s v="Sydney"/>
    <s v="Chris"/>
    <s v="C191"/>
    <s v="New"/>
    <x v="5"/>
    <s v="Croissant"/>
    <s v="N/A"/>
    <n v="3"/>
    <n v="4.53"/>
    <n v="0"/>
    <n v="13.59"/>
    <x v="4"/>
    <x v="0"/>
    <s v="Yes"/>
    <s v="Available"/>
    <n v="4"/>
    <s v="No"/>
  </r>
  <r>
    <n v="1220"/>
    <d v="2026-01-15T00:00:00"/>
    <x v="2"/>
    <x v="1"/>
    <s v="Sydney"/>
    <s v="Sam"/>
    <s v="C143"/>
    <s v="Returning"/>
    <x v="1"/>
    <s v="Ground Coffee 500g"/>
    <s v="N/A"/>
    <n v="1"/>
    <n v="18.04"/>
    <n v="5"/>
    <n v="17.14"/>
    <x v="4"/>
    <x v="0"/>
    <s v="Yes"/>
    <s v="Low Stock"/>
    <n v="3"/>
    <s v="Yes"/>
  </r>
  <r>
    <n v="1221"/>
    <d v="2026-03-25T00:00:00"/>
    <x v="0"/>
    <x v="2"/>
    <s v="Sydney"/>
    <s v="Mia"/>
    <s v="C139"/>
    <s v="Corporate"/>
    <x v="3"/>
    <s v="Frappa"/>
    <s v="L"/>
    <n v="3"/>
    <n v="7.3"/>
    <n v="10"/>
    <n v="19.71"/>
    <x v="4"/>
    <x v="0"/>
    <s v="Yes"/>
    <s v="Available"/>
    <n v="4"/>
    <s v="Yes"/>
  </r>
  <r>
    <n v="1222"/>
    <d v="2026-03-14T00:00:00"/>
    <x v="0"/>
    <x v="0"/>
    <s v="Sydney"/>
    <s v="Priya"/>
    <s v="C142"/>
    <s v="Corporate"/>
    <x v="3"/>
    <s v="Frappa"/>
    <s v="M"/>
    <n v="2"/>
    <n v="6.98"/>
    <n v="0"/>
    <n v="13.96"/>
    <x v="0"/>
    <x v="0"/>
    <s v="No"/>
    <s v="Low Stock"/>
    <n v="3"/>
    <s v="No"/>
  </r>
  <r>
    <n v="1223"/>
    <d v="2026-03-23T00:00:00"/>
    <x v="0"/>
    <x v="0"/>
    <s v="Sydney"/>
    <s v="Sam"/>
    <s v="C144"/>
    <s v="Returning"/>
    <x v="1"/>
    <s v="Ground Coffee 500g"/>
    <s v="N/A"/>
    <n v="4"/>
    <n v="17.71"/>
    <n v="0"/>
    <n v="70.84"/>
    <x v="0"/>
    <x v="2"/>
    <s v="Yes"/>
    <s v="Available"/>
    <n v="4"/>
    <s v="Yes"/>
  </r>
  <r>
    <n v="1224"/>
    <d v="2026-02-26T00:00:00"/>
    <x v="1"/>
    <x v="3"/>
    <s v="Sydney"/>
    <s v="Noah"/>
    <s v="C200"/>
    <s v="Corporate"/>
    <x v="3"/>
    <s v="Cold Brew"/>
    <s v="M"/>
    <n v="4"/>
    <n v="6.72"/>
    <n v="5"/>
    <n v="25.54"/>
    <x v="3"/>
    <x v="0"/>
    <s v="No"/>
    <s v="Available"/>
    <n v="3"/>
    <s v="No"/>
  </r>
  <r>
    <n v="1225"/>
    <d v="2026-02-07T00:00:00"/>
    <x v="1"/>
    <x v="0"/>
    <s v="Sydney"/>
    <s v="Sam"/>
    <s v="C170"/>
    <s v="New"/>
    <x v="2"/>
    <s v="Chai Latte"/>
    <s v="S"/>
    <n v="1"/>
    <n v="4.51"/>
    <n v="5"/>
    <n v="4.28"/>
    <x v="4"/>
    <x v="2"/>
    <s v="No"/>
    <s v="Available"/>
    <n v="4"/>
    <s v="Yes"/>
  </r>
  <r>
    <n v="1226"/>
    <d v="2026-03-25T00:00:00"/>
    <x v="0"/>
    <x v="4"/>
    <s v="Sydney"/>
    <s v="Jordan"/>
    <s v="C152"/>
    <s v="Corporate"/>
    <x v="4"/>
    <s v="Veggie Wrap"/>
    <s v="N/A"/>
    <n v="2"/>
    <n v="7.75"/>
    <n v="0"/>
    <n v="15.5"/>
    <x v="2"/>
    <x v="2"/>
    <s v="No"/>
    <s v="Low Stock"/>
    <n v="4"/>
    <s v="No"/>
  </r>
  <r>
    <n v="1227"/>
    <d v="2026-01-31T00:00:00"/>
    <x v="2"/>
    <x v="0"/>
    <s v="Sydney"/>
    <s v="Mia"/>
    <s v="C111"/>
    <s v="Returning"/>
    <x v="0"/>
    <s v="Mocha"/>
    <s v="L"/>
    <n v="4"/>
    <n v="6.24"/>
    <n v="0"/>
    <n v="24.96"/>
    <x v="2"/>
    <x v="1"/>
    <s v="Yes"/>
    <s v="Available"/>
    <n v="3"/>
    <s v="No"/>
  </r>
  <r>
    <n v="1228"/>
    <d v="2026-01-27T00:00:00"/>
    <x v="2"/>
    <x v="4"/>
    <s v="Sydney"/>
    <s v="Mia"/>
    <s v="C160"/>
    <s v="Returning"/>
    <x v="6"/>
    <s v="Cheesecake Slice"/>
    <s v="N/A"/>
    <n v="1"/>
    <n v="5.13"/>
    <n v="0"/>
    <n v="5.13"/>
    <x v="4"/>
    <x v="0"/>
    <s v="No"/>
    <s v="Available"/>
    <n v="5"/>
    <s v="No"/>
  </r>
  <r>
    <n v="1229"/>
    <d v="2026-02-18T00:00:00"/>
    <x v="1"/>
    <x v="2"/>
    <s v="Sydney"/>
    <s v="Taylor"/>
    <s v="C172"/>
    <s v="New"/>
    <x v="3"/>
    <s v="Cold Brew"/>
    <s v="S"/>
    <n v="3"/>
    <n v="6.1"/>
    <n v="0"/>
    <n v="18.3"/>
    <x v="3"/>
    <x v="2"/>
    <s v="Yes"/>
    <s v="Available"/>
    <n v="4"/>
    <s v="No"/>
  </r>
  <r>
    <n v="1230"/>
    <d v="2026-03-11T00:00:00"/>
    <x v="0"/>
    <x v="3"/>
    <s v="Sydney"/>
    <s v="Noah"/>
    <s v="C173"/>
    <s v="New"/>
    <x v="1"/>
    <s v="Coffee Beans 1kg"/>
    <s v="N/A"/>
    <n v="1"/>
    <n v="18.46"/>
    <n v="10"/>
    <n v="16.61"/>
    <x v="1"/>
    <x v="1"/>
    <s v="Yes"/>
    <s v="Low Stock"/>
    <n v="3"/>
    <s v="No"/>
  </r>
  <r>
    <n v="1231"/>
    <d v="2026-03-06T00:00:00"/>
    <x v="0"/>
    <x v="1"/>
    <s v="Sydney"/>
    <s v="Priya"/>
    <s v="C127"/>
    <s v="New"/>
    <x v="4"/>
    <s v="Ham Toastie"/>
    <s v="N/A"/>
    <n v="2"/>
    <n v="7.81"/>
    <n v="5"/>
    <n v="14.84"/>
    <x v="3"/>
    <x v="0"/>
    <s v="No"/>
    <s v="Available"/>
    <n v="4"/>
    <s v="Yes"/>
  </r>
  <r>
    <n v="1232"/>
    <d v="2026-01-26T00:00:00"/>
    <x v="2"/>
    <x v="4"/>
    <s v="Sydney"/>
    <s v="Mia"/>
    <s v="C171"/>
    <s v="Returning"/>
    <x v="1"/>
    <s v="Ground Coffee 500g"/>
    <s v="N/A"/>
    <n v="3"/>
    <n v="18.52"/>
    <n v="0"/>
    <n v="55.56"/>
    <x v="2"/>
    <x v="1"/>
    <s v="No"/>
    <s v="Low Stock"/>
    <n v="3"/>
    <s v="No"/>
  </r>
  <r>
    <n v="1233"/>
    <d v="2026-03-31T00:00:00"/>
    <x v="0"/>
    <x v="1"/>
    <s v="Sydney"/>
    <s v="Sam"/>
    <s v="C218"/>
    <s v="New"/>
    <x v="4"/>
    <s v="Ham Toastie"/>
    <s v="N/A"/>
    <n v="4"/>
    <n v="7.8"/>
    <n v="0"/>
    <n v="31.2"/>
    <x v="2"/>
    <x v="0"/>
    <s v="No"/>
    <s v="Low Stock"/>
    <n v="4"/>
    <s v="Yes"/>
  </r>
  <r>
    <n v="1234"/>
    <d v="2026-02-03T00:00:00"/>
    <x v="1"/>
    <x v="3"/>
    <s v="Sydney"/>
    <s v="Priya"/>
    <s v="C179"/>
    <s v="Corporate"/>
    <x v="6"/>
    <s v="Cheesecake Slice"/>
    <s v="N/A"/>
    <n v="4"/>
    <n v="4.7300000000000004"/>
    <n v="0"/>
    <n v="18.920000000000002"/>
    <x v="1"/>
    <x v="0"/>
    <s v="No"/>
    <s v="Low Stock"/>
    <n v="3"/>
    <s v="No"/>
  </r>
  <r>
    <n v="1235"/>
    <d v="2026-01-07T00:00:00"/>
    <x v="2"/>
    <x v="3"/>
    <s v="Sydney"/>
    <s v="Taylor"/>
    <s v="C207"/>
    <s v="Returning"/>
    <x v="2"/>
    <s v="Chai Latte"/>
    <s v="S"/>
    <n v="3"/>
    <n v="4.9400000000000004"/>
    <n v="0"/>
    <n v="14.82"/>
    <x v="0"/>
    <x v="0"/>
    <s v="Yes"/>
    <s v="Low Stock"/>
    <n v="5"/>
    <s v="Yes"/>
  </r>
  <r>
    <n v="1236"/>
    <d v="2026-02-11T00:00:00"/>
    <x v="1"/>
    <x v="2"/>
    <s v="Sydney"/>
    <s v="Noah"/>
    <s v="C197"/>
    <s v="Corporate"/>
    <x v="6"/>
    <s v="Cheesecake Slice"/>
    <s v="N/A"/>
    <n v="1"/>
    <n v="4.87"/>
    <n v="0"/>
    <n v="4.87"/>
    <x v="4"/>
    <x v="0"/>
    <s v="Yes"/>
    <s v="Available"/>
    <n v="3"/>
    <s v="No"/>
  </r>
  <r>
    <n v="1237"/>
    <d v="2026-03-06T00:00:00"/>
    <x v="0"/>
    <x v="3"/>
    <s v="Sydney"/>
    <s v="Jordan"/>
    <s v="C104"/>
    <s v="Returning"/>
    <x v="3"/>
    <s v="Frappa"/>
    <s v="L"/>
    <n v="1"/>
    <n v="7.26"/>
    <n v="0"/>
    <n v="7.26"/>
    <x v="0"/>
    <x v="1"/>
    <s v="Yes"/>
    <s v="Low Stock"/>
    <n v="3"/>
    <s v="No"/>
  </r>
  <r>
    <n v="1238"/>
    <d v="2026-03-01T00:00:00"/>
    <x v="0"/>
    <x v="1"/>
    <s v="Sydney"/>
    <s v="Noah"/>
    <s v="C176"/>
    <s v="Returning"/>
    <x v="5"/>
    <s v="Banana Bread"/>
    <s v="N/A"/>
    <n v="1"/>
    <n v="4.3099999999999996"/>
    <n v="0"/>
    <n v="4.3099999999999996"/>
    <x v="3"/>
    <x v="1"/>
    <s v="No"/>
    <s v="Low Stock"/>
    <n v="5"/>
    <s v="No"/>
  </r>
  <r>
    <n v="1239"/>
    <d v="2026-02-03T00:00:00"/>
    <x v="1"/>
    <x v="0"/>
    <s v="Sydney"/>
    <s v="Jordan"/>
    <s v="C182"/>
    <s v="New"/>
    <x v="2"/>
    <s v="Green Tea"/>
    <s v="M"/>
    <n v="1"/>
    <n v="5.05"/>
    <n v="10"/>
    <n v="4.54"/>
    <x v="3"/>
    <x v="1"/>
    <s v="No"/>
    <s v="Available"/>
    <n v="4"/>
    <s v="No"/>
  </r>
  <r>
    <n v="1240"/>
    <d v="2026-03-02T00:00:00"/>
    <x v="0"/>
    <x v="4"/>
    <s v="Sydney"/>
    <s v="Taylor"/>
    <s v="C154"/>
    <s v="Returning"/>
    <x v="6"/>
    <s v="Brownie"/>
    <s v="N/A"/>
    <n v="1"/>
    <n v="4.9000000000000004"/>
    <n v="10"/>
    <n v="4.41"/>
    <x v="4"/>
    <x v="1"/>
    <s v="No"/>
    <s v="Available"/>
    <n v="5"/>
    <s v="Yes"/>
  </r>
  <r>
    <n v="1241"/>
    <d v="2026-02-08T00:00:00"/>
    <x v="1"/>
    <x v="1"/>
    <s v="Sydney"/>
    <s v="Taylor"/>
    <s v="C138"/>
    <s v="Corporate"/>
    <x v="1"/>
    <s v="Ground Coffee 500g"/>
    <s v="N/A"/>
    <n v="1"/>
    <n v="17.71"/>
    <n v="0"/>
    <n v="17.71"/>
    <x v="0"/>
    <x v="1"/>
    <s v="Yes"/>
    <s v="Low Stock"/>
    <n v="3"/>
    <s v="No"/>
  </r>
  <r>
    <n v="1242"/>
    <d v="2026-03-23T00:00:00"/>
    <x v="0"/>
    <x v="2"/>
    <s v="Sydney"/>
    <s v="Priya"/>
    <s v="C166"/>
    <s v="New"/>
    <x v="1"/>
    <s v="Ground Coffee 500g"/>
    <s v="N/A"/>
    <n v="3"/>
    <n v="18.29"/>
    <n v="0"/>
    <n v="54.87"/>
    <x v="0"/>
    <x v="2"/>
    <s v="No"/>
    <s v="Low Stock"/>
    <n v="4"/>
    <s v="No"/>
  </r>
  <r>
    <n v="1243"/>
    <d v="2026-01-04T00:00:00"/>
    <x v="2"/>
    <x v="3"/>
    <s v="Sydney"/>
    <s v="Jordan"/>
    <s v="C143"/>
    <s v="Corporate"/>
    <x v="2"/>
    <s v="Chai Latte"/>
    <s v="M"/>
    <n v="4"/>
    <n v="5.25"/>
    <n v="0"/>
    <n v="21"/>
    <x v="3"/>
    <x v="2"/>
    <s v="No"/>
    <s v="Low Stock"/>
    <n v="3"/>
    <s v="No"/>
  </r>
  <r>
    <n v="1244"/>
    <d v="2026-01-22T00:00:00"/>
    <x v="2"/>
    <x v="1"/>
    <s v="Sydney"/>
    <s v="Priya"/>
    <s v="C187"/>
    <s v="Returning"/>
    <x v="3"/>
    <s v="Cold Brew"/>
    <s v="S"/>
    <n v="4"/>
    <n v="5.82"/>
    <n v="0"/>
    <n v="23.28"/>
    <x v="0"/>
    <x v="0"/>
    <s v="No"/>
    <s v="Available"/>
    <n v="3"/>
    <s v="No"/>
  </r>
  <r>
    <n v="1245"/>
    <d v="2026-02-23T00:00:00"/>
    <x v="1"/>
    <x v="2"/>
    <s v="Sydney"/>
    <s v="Alex"/>
    <s v="C210"/>
    <s v="Corporate"/>
    <x v="2"/>
    <s v="Chai Latte"/>
    <s v="L"/>
    <n v="3"/>
    <n v="6.02"/>
    <n v="0"/>
    <n v="18.059999999999999"/>
    <x v="2"/>
    <x v="2"/>
    <s v="Yes"/>
    <s v="Low Stock"/>
    <n v="3"/>
    <s v="No"/>
  </r>
  <r>
    <n v="1246"/>
    <d v="2026-03-06T00:00:00"/>
    <x v="0"/>
    <x v="0"/>
    <s v="Sydney"/>
    <s v="Jordan"/>
    <s v="C143"/>
    <s v="Returning"/>
    <x v="1"/>
    <s v="Ground Coffee 500g"/>
    <s v="N/A"/>
    <n v="3"/>
    <n v="18.07"/>
    <n v="0"/>
    <n v="54.21"/>
    <x v="2"/>
    <x v="1"/>
    <s v="Yes"/>
    <s v="Low Stock"/>
    <n v="4"/>
    <s v="No"/>
  </r>
  <r>
    <n v="1247"/>
    <d v="2026-01-11T00:00:00"/>
    <x v="2"/>
    <x v="3"/>
    <s v="Sydney"/>
    <s v="Taylor"/>
    <s v="C126"/>
    <s v="New"/>
    <x v="2"/>
    <s v="English Breakfast"/>
    <s v="S"/>
    <n v="3"/>
    <n v="4.7699999999999996"/>
    <n v="0"/>
    <n v="14.31"/>
    <x v="2"/>
    <x v="0"/>
    <s v="No"/>
    <s v="Available"/>
    <n v="3"/>
    <s v="No"/>
  </r>
  <r>
    <n v="1248"/>
    <d v="2026-03-20T00:00:00"/>
    <x v="0"/>
    <x v="3"/>
    <s v="Sydney"/>
    <s v="Alex"/>
    <s v="C104"/>
    <s v="Corporate"/>
    <x v="6"/>
    <s v="Cheesecake Slice"/>
    <s v="N/A"/>
    <n v="4"/>
    <n v="5.09"/>
    <n v="5"/>
    <n v="19.34"/>
    <x v="3"/>
    <x v="2"/>
    <s v="No"/>
    <s v="Available"/>
    <n v="3"/>
    <s v="No"/>
  </r>
  <r>
    <n v="1249"/>
    <d v="2026-03-09T00:00:00"/>
    <x v="0"/>
    <x v="4"/>
    <s v="Sydney"/>
    <s v="Priya"/>
    <s v="C113"/>
    <s v="Returning"/>
    <x v="0"/>
    <s v="Latte"/>
    <s v="L"/>
    <n v="2"/>
    <n v="6.3"/>
    <n v="0"/>
    <n v="12.6"/>
    <x v="2"/>
    <x v="2"/>
    <s v="No"/>
    <s v="Available"/>
    <n v="5"/>
    <s v="No"/>
  </r>
  <r>
    <n v="1250"/>
    <d v="2026-01-06T00:00:00"/>
    <x v="2"/>
    <x v="2"/>
    <s v="Sydney"/>
    <s v="Noah"/>
    <s v="C145"/>
    <s v="New"/>
    <x v="2"/>
    <s v="Chai Latte"/>
    <s v="L"/>
    <n v="3"/>
    <n v="5.99"/>
    <n v="0"/>
    <n v="17.97"/>
    <x v="3"/>
    <x v="1"/>
    <s v="Yes"/>
    <s v="Available"/>
    <n v="5"/>
    <s v="No"/>
  </r>
  <r>
    <n v="1251"/>
    <d v="2026-01-17T00:00:00"/>
    <x v="2"/>
    <x v="4"/>
    <s v="Sydney"/>
    <s v="Taylor"/>
    <s v="C198"/>
    <s v="Corporate"/>
    <x v="6"/>
    <s v="Brownie"/>
    <s v="N/A"/>
    <n v="2"/>
    <n v="4.8099999999999996"/>
    <n v="0"/>
    <n v="9.6199999999999992"/>
    <x v="2"/>
    <x v="0"/>
    <s v="Yes"/>
    <s v="Available"/>
    <n v="3"/>
    <s v="No"/>
  </r>
  <r>
    <n v="1252"/>
    <d v="2026-01-07T00:00:00"/>
    <x v="2"/>
    <x v="0"/>
    <s v="Sydney"/>
    <s v="Priya"/>
    <s v="C126"/>
    <s v="Corporate"/>
    <x v="5"/>
    <s v="Blueberry Muffin"/>
    <s v="N/A"/>
    <n v="4"/>
    <n v="3.81"/>
    <n v="0"/>
    <n v="15.24"/>
    <x v="0"/>
    <x v="1"/>
    <s v="No"/>
    <s v="Available"/>
    <n v="3"/>
    <s v="No"/>
  </r>
  <r>
    <n v="1253"/>
    <d v="2026-03-21T00:00:00"/>
    <x v="0"/>
    <x v="1"/>
    <s v="Sydney"/>
    <s v="Sam"/>
    <s v="C136"/>
    <s v="New"/>
    <x v="6"/>
    <s v="Brownie"/>
    <s v="N/A"/>
    <n v="4"/>
    <n v="5.45"/>
    <n v="0"/>
    <n v="21.8"/>
    <x v="0"/>
    <x v="1"/>
    <s v="Yes"/>
    <s v="Available"/>
    <n v="3"/>
    <s v="No"/>
  </r>
  <r>
    <n v="1254"/>
    <d v="2026-03-08T00:00:00"/>
    <x v="0"/>
    <x v="4"/>
    <s v="Sydney"/>
    <s v="Jordan"/>
    <s v="C188"/>
    <s v="Returning"/>
    <x v="2"/>
    <s v="English Breakfast"/>
    <s v="M"/>
    <n v="3"/>
    <n v="5.04"/>
    <n v="10"/>
    <n v="13.61"/>
    <x v="4"/>
    <x v="0"/>
    <s v="Yes"/>
    <s v="Available"/>
    <n v="3"/>
    <s v="No"/>
  </r>
  <r>
    <n v="1255"/>
    <d v="2026-01-15T00:00:00"/>
    <x v="2"/>
    <x v="1"/>
    <s v="Sydney"/>
    <s v="Sam"/>
    <s v="C215"/>
    <s v="Returning"/>
    <x v="6"/>
    <s v="Cheesecake Slice"/>
    <s v="N/A"/>
    <n v="2"/>
    <n v="5.55"/>
    <n v="10"/>
    <n v="9.99"/>
    <x v="3"/>
    <x v="1"/>
    <s v="No"/>
    <s v="Low Stock"/>
    <n v="3"/>
    <s v="Yes"/>
  </r>
  <r>
    <n v="1256"/>
    <d v="2026-01-07T00:00:00"/>
    <x v="2"/>
    <x v="0"/>
    <s v="Sydney"/>
    <s v="Mia"/>
    <s v="C194"/>
    <s v="New"/>
    <x v="1"/>
    <s v="Coffee Beans 1kg"/>
    <s v="N/A"/>
    <n v="1"/>
    <n v="18.47"/>
    <n v="0"/>
    <n v="18.47"/>
    <x v="0"/>
    <x v="0"/>
    <s v="Yes"/>
    <s v="Available"/>
    <n v="5"/>
    <s v="No"/>
  </r>
  <r>
    <n v="1257"/>
    <d v="2026-02-12T00:00:00"/>
    <x v="1"/>
    <x v="2"/>
    <s v="Sydney"/>
    <s v="Chris"/>
    <s v="C123"/>
    <s v="New"/>
    <x v="5"/>
    <s v="Banana Bread"/>
    <s v="N/A"/>
    <n v="3"/>
    <n v="4.49"/>
    <n v="0"/>
    <n v="13.47"/>
    <x v="1"/>
    <x v="1"/>
    <s v="No"/>
    <s v="Low Stock"/>
    <n v="5"/>
    <s v="Yes"/>
  </r>
  <r>
    <n v="1258"/>
    <d v="2026-03-30T00:00:00"/>
    <x v="0"/>
    <x v="3"/>
    <s v="Sydney"/>
    <s v="Sam"/>
    <s v="C153"/>
    <s v="Corporate"/>
    <x v="1"/>
    <s v="Ground Coffee 500g"/>
    <s v="N/A"/>
    <n v="2"/>
    <n v="17.8"/>
    <n v="0"/>
    <n v="35.6"/>
    <x v="1"/>
    <x v="2"/>
    <s v="No"/>
    <s v="Available"/>
    <n v="4"/>
    <s v="Yes"/>
  </r>
  <r>
    <n v="1259"/>
    <d v="2026-02-15T00:00:00"/>
    <x v="1"/>
    <x v="1"/>
    <s v="Sydney"/>
    <s v="Alex"/>
    <s v="C108"/>
    <s v="Returning"/>
    <x v="0"/>
    <s v="Cappuccino"/>
    <s v="M"/>
    <n v="4"/>
    <n v="5.5"/>
    <n v="5"/>
    <n v="20.9"/>
    <x v="4"/>
    <x v="0"/>
    <s v="Yes"/>
    <s v="Low Stock"/>
    <n v="3"/>
    <s v="No"/>
  </r>
  <r>
    <n v="1260"/>
    <d v="2026-02-25T00:00:00"/>
    <x v="1"/>
    <x v="4"/>
    <s v="Sydney"/>
    <s v="Alex"/>
    <s v="C101"/>
    <s v="Corporate"/>
    <x v="5"/>
    <s v="Blueberry Muffin"/>
    <s v="N/A"/>
    <n v="4"/>
    <n v="3.83"/>
    <n v="10"/>
    <n v="13.79"/>
    <x v="3"/>
    <x v="2"/>
    <s v="No"/>
    <s v="Low Stock"/>
    <n v="3"/>
    <s v="No"/>
  </r>
  <r>
    <n v="1261"/>
    <d v="2026-01-10T00:00:00"/>
    <x v="2"/>
    <x v="3"/>
    <s v="Sydney"/>
    <s v="Mia"/>
    <s v="C151"/>
    <s v="New"/>
    <x v="2"/>
    <s v="Green Tea"/>
    <s v="M"/>
    <n v="3"/>
    <n v="4.95"/>
    <n v="0"/>
    <n v="14.85"/>
    <x v="0"/>
    <x v="1"/>
    <s v="No"/>
    <s v="Low Stock"/>
    <n v="3"/>
    <s v="No"/>
  </r>
  <r>
    <n v="1262"/>
    <d v="2026-03-05T00:00:00"/>
    <x v="0"/>
    <x v="3"/>
    <s v="Sydney"/>
    <s v="Alex"/>
    <s v="C205"/>
    <s v="New"/>
    <x v="2"/>
    <s v="Green Tea"/>
    <s v="M"/>
    <n v="1"/>
    <n v="4.99"/>
    <n v="5"/>
    <n v="4.74"/>
    <x v="2"/>
    <x v="2"/>
    <s v="No"/>
    <s v="Available"/>
    <n v="3"/>
    <s v="Yes"/>
  </r>
  <r>
    <n v="1263"/>
    <d v="2026-02-13T00:00:00"/>
    <x v="1"/>
    <x v="2"/>
    <s v="Sydney"/>
    <s v="Noah"/>
    <s v="C191"/>
    <s v="Corporate"/>
    <x v="1"/>
    <s v="Coffee Beans 1kg"/>
    <s v="N/A"/>
    <n v="2"/>
    <n v="18.46"/>
    <n v="0"/>
    <n v="36.92"/>
    <x v="4"/>
    <x v="2"/>
    <s v="No"/>
    <s v="Available"/>
    <n v="3"/>
    <s v="No"/>
  </r>
  <r>
    <n v="1264"/>
    <d v="2026-03-26T00:00:00"/>
    <x v="0"/>
    <x v="4"/>
    <s v="Sydney"/>
    <s v="Alex"/>
    <s v="C214"/>
    <s v="New"/>
    <x v="0"/>
    <s v="Flat White"/>
    <s v="M"/>
    <n v="3"/>
    <n v="5.89"/>
    <n v="0"/>
    <n v="17.670000000000002"/>
    <x v="1"/>
    <x v="0"/>
    <s v="No"/>
    <s v="Available"/>
    <n v="3"/>
    <s v="No"/>
  </r>
  <r>
    <n v="1265"/>
    <d v="2026-03-20T00:00:00"/>
    <x v="0"/>
    <x v="4"/>
    <s v="Sydney"/>
    <s v="Sam"/>
    <s v="C196"/>
    <s v="Returning"/>
    <x v="3"/>
    <s v="Iced Latte"/>
    <s v="M"/>
    <n v="2"/>
    <n v="6.81"/>
    <n v="0"/>
    <n v="13.62"/>
    <x v="0"/>
    <x v="2"/>
    <s v="Yes"/>
    <s v="Low Stock"/>
    <n v="5"/>
    <s v="Yes"/>
  </r>
  <r>
    <n v="1266"/>
    <d v="2026-03-26T00:00:00"/>
    <x v="0"/>
    <x v="1"/>
    <s v="Sydney"/>
    <s v="Mia"/>
    <s v="C207"/>
    <s v="Corporate"/>
    <x v="4"/>
    <s v="Chicken Sandwich"/>
    <s v="N/A"/>
    <n v="4"/>
    <n v="7.7"/>
    <n v="0"/>
    <n v="30.8"/>
    <x v="1"/>
    <x v="2"/>
    <s v="Yes"/>
    <s v="Available"/>
    <n v="3"/>
    <s v="No"/>
  </r>
  <r>
    <n v="1267"/>
    <d v="2026-01-14T00:00:00"/>
    <x v="2"/>
    <x v="3"/>
    <s v="Sydney"/>
    <s v="Taylor"/>
    <s v="C150"/>
    <s v="Returning"/>
    <x v="6"/>
    <s v="Cheesecake Slice"/>
    <s v="N/A"/>
    <n v="4"/>
    <n v="5.08"/>
    <n v="10"/>
    <n v="18.29"/>
    <x v="4"/>
    <x v="1"/>
    <s v="Yes"/>
    <s v="Available"/>
    <n v="4"/>
    <s v="Yes"/>
  </r>
  <r>
    <n v="1268"/>
    <d v="2026-03-19T00:00:00"/>
    <x v="0"/>
    <x v="1"/>
    <s v="Sydney"/>
    <s v="Jordan"/>
    <s v="C126"/>
    <s v="Corporate"/>
    <x v="2"/>
    <s v="English Breakfast"/>
    <s v="L"/>
    <n v="3"/>
    <n v="6.24"/>
    <n v="10"/>
    <n v="16.850000000000001"/>
    <x v="4"/>
    <x v="2"/>
    <s v="No"/>
    <s v="Available"/>
    <n v="4"/>
    <s v="No"/>
  </r>
  <r>
    <n v="1269"/>
    <d v="2026-03-06T00:00:00"/>
    <x v="0"/>
    <x v="1"/>
    <s v="Sydney"/>
    <s v="Mia"/>
    <s v="C186"/>
    <s v="Corporate"/>
    <x v="6"/>
    <s v="Cheesecake Slice"/>
    <s v="N/A"/>
    <n v="1"/>
    <n v="5.38"/>
    <n v="10"/>
    <n v="4.84"/>
    <x v="2"/>
    <x v="1"/>
    <s v="No"/>
    <s v="Available"/>
    <n v="3"/>
    <s v="No"/>
  </r>
  <r>
    <n v="1270"/>
    <d v="2026-01-04T00:00:00"/>
    <x v="2"/>
    <x v="3"/>
    <s v="Sydney"/>
    <s v="Taylor"/>
    <s v="C118"/>
    <s v="New"/>
    <x v="3"/>
    <s v="Iced Latte"/>
    <s v="L"/>
    <n v="1"/>
    <n v="7.28"/>
    <n v="0"/>
    <n v="7.28"/>
    <x v="4"/>
    <x v="0"/>
    <s v="Yes"/>
    <s v="Low Stock"/>
    <n v="5"/>
    <s v="Yes"/>
  </r>
  <r>
    <n v="1271"/>
    <d v="2026-01-14T00:00:00"/>
    <x v="2"/>
    <x v="1"/>
    <s v="Sydney"/>
    <s v="Mia"/>
    <s v="C149"/>
    <s v="Returning"/>
    <x v="1"/>
    <s v="Coffee Beans 1kg"/>
    <s v="N/A"/>
    <n v="4"/>
    <n v="17.91"/>
    <n v="0"/>
    <n v="71.64"/>
    <x v="4"/>
    <x v="2"/>
    <s v="Yes"/>
    <s v="Available"/>
    <n v="3"/>
    <s v="No"/>
  </r>
  <r>
    <n v="1272"/>
    <d v="2026-01-26T00:00:00"/>
    <x v="2"/>
    <x v="1"/>
    <s v="Sydney"/>
    <s v="Jordan"/>
    <s v="C199"/>
    <s v="Corporate"/>
    <x v="1"/>
    <s v="Ground Coffee 500g"/>
    <s v="N/A"/>
    <n v="2"/>
    <n v="18.52"/>
    <n v="0"/>
    <n v="37.04"/>
    <x v="3"/>
    <x v="1"/>
    <s v="No"/>
    <s v="Available"/>
    <n v="3"/>
    <s v="No"/>
  </r>
  <r>
    <n v="1273"/>
    <d v="2026-01-24T00:00:00"/>
    <x v="2"/>
    <x v="4"/>
    <s v="Sydney"/>
    <s v="Taylor"/>
    <s v="C116"/>
    <s v="New"/>
    <x v="6"/>
    <s v="Brownie"/>
    <s v="N/A"/>
    <n v="4"/>
    <n v="4.74"/>
    <n v="0"/>
    <n v="18.96"/>
    <x v="2"/>
    <x v="1"/>
    <s v="Yes"/>
    <s v="Low Stock"/>
    <n v="3"/>
    <s v="Yes"/>
  </r>
  <r>
    <n v="1274"/>
    <d v="2026-01-20T00:00:00"/>
    <x v="2"/>
    <x v="0"/>
    <s v="Sydney"/>
    <s v="Noah"/>
    <s v="C201"/>
    <s v="Corporate"/>
    <x v="3"/>
    <s v="Cold Brew"/>
    <s v="L"/>
    <n v="1"/>
    <n v="7.8"/>
    <n v="10"/>
    <n v="7.02"/>
    <x v="2"/>
    <x v="1"/>
    <s v="Yes"/>
    <s v="Low Stock"/>
    <n v="5"/>
    <s v="No"/>
  </r>
  <r>
    <n v="1275"/>
    <d v="2026-01-24T00:00:00"/>
    <x v="2"/>
    <x v="1"/>
    <s v="Sydney"/>
    <s v="Chris"/>
    <s v="C128"/>
    <s v="New"/>
    <x v="0"/>
    <s v="Espresso"/>
    <s v="S"/>
    <n v="4"/>
    <n v="5.19"/>
    <n v="5"/>
    <n v="19.72"/>
    <x v="4"/>
    <x v="1"/>
    <s v="No"/>
    <s v="Low Stock"/>
    <n v="3"/>
    <s v="No"/>
  </r>
  <r>
    <n v="1276"/>
    <d v="2026-03-21T00:00:00"/>
    <x v="0"/>
    <x v="1"/>
    <s v="Sydney"/>
    <s v="Jordan"/>
    <s v="C215"/>
    <s v="Corporate"/>
    <x v="5"/>
    <s v="Banana Bread"/>
    <s v="N/A"/>
    <n v="1"/>
    <n v="3.8"/>
    <n v="0"/>
    <n v="3.8"/>
    <x v="2"/>
    <x v="2"/>
    <s v="Yes"/>
    <s v="Available"/>
    <n v="3"/>
    <s v="No"/>
  </r>
  <r>
    <n v="1277"/>
    <d v="2026-02-18T00:00:00"/>
    <x v="1"/>
    <x v="0"/>
    <s v="Sydney"/>
    <s v="Noah"/>
    <s v="C162"/>
    <s v="New"/>
    <x v="5"/>
    <s v="Blueberry Muffin"/>
    <s v="N/A"/>
    <n v="3"/>
    <n v="3.72"/>
    <n v="10"/>
    <n v="10.039999999999999"/>
    <x v="4"/>
    <x v="2"/>
    <s v="Yes"/>
    <s v="Low Stock"/>
    <n v="5"/>
    <s v="No"/>
  </r>
  <r>
    <n v="1278"/>
    <d v="2026-01-13T00:00:00"/>
    <x v="2"/>
    <x v="4"/>
    <s v="Sydney"/>
    <s v="Sam"/>
    <s v="C126"/>
    <s v="Corporate"/>
    <x v="1"/>
    <s v="Coffee Beans 1kg"/>
    <s v="N/A"/>
    <n v="1"/>
    <n v="17.89"/>
    <n v="0"/>
    <n v="17.89"/>
    <x v="1"/>
    <x v="2"/>
    <s v="Yes"/>
    <s v="Available"/>
    <n v="3"/>
    <s v="No"/>
  </r>
  <r>
    <n v="1279"/>
    <d v="2026-02-28T00:00:00"/>
    <x v="1"/>
    <x v="2"/>
    <s v="Sydney"/>
    <s v="Sam"/>
    <s v="C173"/>
    <s v="New"/>
    <x v="0"/>
    <s v="Latte"/>
    <s v="S"/>
    <n v="1"/>
    <n v="4.8600000000000003"/>
    <n v="0"/>
    <n v="4.8600000000000003"/>
    <x v="4"/>
    <x v="1"/>
    <s v="No"/>
    <s v="Low Stock"/>
    <n v="3"/>
    <s v="Yes"/>
  </r>
  <r>
    <n v="1280"/>
    <d v="2026-02-25T00:00:00"/>
    <x v="1"/>
    <x v="2"/>
    <s v="Sydney"/>
    <s v="Alex"/>
    <s v="C189"/>
    <s v="New"/>
    <x v="0"/>
    <s v="Mocha"/>
    <s v="L"/>
    <n v="1"/>
    <n v="6.58"/>
    <n v="10"/>
    <n v="5.92"/>
    <x v="4"/>
    <x v="2"/>
    <s v="Yes"/>
    <s v="Low Stock"/>
    <n v="3"/>
    <s v="No"/>
  </r>
  <r>
    <n v="1281"/>
    <d v="2026-03-19T00:00:00"/>
    <x v="0"/>
    <x v="0"/>
    <s v="Sydney"/>
    <s v="Priya"/>
    <s v="C168"/>
    <s v="New"/>
    <x v="2"/>
    <s v="Chai Latte"/>
    <s v="M"/>
    <n v="4"/>
    <n v="5.64"/>
    <n v="0"/>
    <n v="22.56"/>
    <x v="3"/>
    <x v="2"/>
    <s v="No"/>
    <s v="Low Stock"/>
    <n v="3"/>
    <s v="No"/>
  </r>
  <r>
    <n v="1282"/>
    <d v="2026-02-08T00:00:00"/>
    <x v="1"/>
    <x v="2"/>
    <s v="Sydney"/>
    <s v="Mia"/>
    <s v="C168"/>
    <s v="Corporate"/>
    <x v="0"/>
    <s v="Espresso"/>
    <s v="L"/>
    <n v="2"/>
    <n v="6.21"/>
    <n v="0"/>
    <n v="12.42"/>
    <x v="0"/>
    <x v="1"/>
    <s v="Yes"/>
    <s v="Low Stock"/>
    <n v="3"/>
    <s v="No"/>
  </r>
  <r>
    <n v="1283"/>
    <d v="2026-02-22T00:00:00"/>
    <x v="1"/>
    <x v="1"/>
    <s v="Sydney"/>
    <s v="Sam"/>
    <s v="C123"/>
    <s v="Corporate"/>
    <x v="3"/>
    <s v="Iced Latte"/>
    <s v="S"/>
    <n v="2"/>
    <n v="6.26"/>
    <n v="0"/>
    <n v="12.52"/>
    <x v="2"/>
    <x v="0"/>
    <s v="No"/>
    <s v="Available"/>
    <n v="4"/>
    <s v="No"/>
  </r>
  <r>
    <n v="1284"/>
    <d v="2026-03-27T00:00:00"/>
    <x v="0"/>
    <x v="0"/>
    <s v="Sydney"/>
    <s v="Jordan"/>
    <s v="C112"/>
    <s v="Returning"/>
    <x v="2"/>
    <s v="Green Tea"/>
    <s v="S"/>
    <n v="4"/>
    <n v="5.0599999999999996"/>
    <n v="0"/>
    <n v="20.239999999999998"/>
    <x v="2"/>
    <x v="0"/>
    <s v="Yes"/>
    <s v="Low Stock"/>
    <n v="4"/>
    <s v="Yes"/>
  </r>
  <r>
    <n v="1285"/>
    <d v="2026-02-27T00:00:00"/>
    <x v="1"/>
    <x v="2"/>
    <s v="Sydney"/>
    <s v="Chris"/>
    <s v="C203"/>
    <s v="Returning"/>
    <x v="4"/>
    <s v="Ham Toastie"/>
    <s v="N/A"/>
    <n v="3"/>
    <n v="8.32"/>
    <n v="0"/>
    <n v="24.96"/>
    <x v="1"/>
    <x v="0"/>
    <s v="Yes"/>
    <s v="Low Stock"/>
    <n v="3"/>
    <s v="No"/>
  </r>
  <r>
    <n v="1286"/>
    <d v="2026-01-29T00:00:00"/>
    <x v="2"/>
    <x v="3"/>
    <s v="Sydney"/>
    <s v="Chris"/>
    <s v="C199"/>
    <s v="Returning"/>
    <x v="2"/>
    <s v="Chai Latte"/>
    <s v="S"/>
    <n v="3"/>
    <n v="4.99"/>
    <n v="5"/>
    <n v="14.22"/>
    <x v="1"/>
    <x v="2"/>
    <s v="Yes"/>
    <s v="Available"/>
    <n v="3"/>
    <s v="No"/>
  </r>
  <r>
    <n v="1287"/>
    <d v="2026-02-05T00:00:00"/>
    <x v="1"/>
    <x v="4"/>
    <s v="Sydney"/>
    <s v="Alex"/>
    <s v="C208"/>
    <s v="Corporate"/>
    <x v="4"/>
    <s v="Chicken Sandwich"/>
    <s v="N/A"/>
    <n v="3"/>
    <n v="8.36"/>
    <n v="0"/>
    <n v="25.08"/>
    <x v="0"/>
    <x v="2"/>
    <s v="No"/>
    <s v="Available"/>
    <n v="3"/>
    <s v="No"/>
  </r>
  <r>
    <n v="1288"/>
    <d v="2026-03-12T00:00:00"/>
    <x v="0"/>
    <x v="2"/>
    <s v="Sydney"/>
    <s v="Mia"/>
    <s v="C128"/>
    <s v="Corporate"/>
    <x v="4"/>
    <s v="Ham Toastie"/>
    <s v="N/A"/>
    <n v="4"/>
    <n v="8.2899999999999991"/>
    <n v="0"/>
    <n v="33.159999999999997"/>
    <x v="4"/>
    <x v="0"/>
    <s v="No"/>
    <s v="Available"/>
    <n v="5"/>
    <s v="Yes"/>
  </r>
  <r>
    <n v="1289"/>
    <d v="2026-02-16T00:00:00"/>
    <x v="1"/>
    <x v="1"/>
    <s v="Sydney"/>
    <s v="Priya"/>
    <s v="C122"/>
    <s v="Corporate"/>
    <x v="0"/>
    <s v="Cappuccino"/>
    <s v="L"/>
    <n v="2"/>
    <n v="6.78"/>
    <n v="0"/>
    <n v="13.56"/>
    <x v="2"/>
    <x v="2"/>
    <s v="Yes"/>
    <s v="Low Stock"/>
    <n v="3"/>
    <s v="No"/>
  </r>
  <r>
    <n v="1290"/>
    <d v="2026-01-06T00:00:00"/>
    <x v="2"/>
    <x v="4"/>
    <s v="Sydney"/>
    <s v="Alex"/>
    <s v="C185"/>
    <s v="New"/>
    <x v="1"/>
    <s v="Ground Coffee 500g"/>
    <s v="N/A"/>
    <n v="2"/>
    <n v="17.760000000000002"/>
    <n v="0"/>
    <n v="35.520000000000003"/>
    <x v="2"/>
    <x v="1"/>
    <s v="No"/>
    <s v="Low Stock"/>
    <n v="4"/>
    <s v="Yes"/>
  </r>
  <r>
    <n v="1291"/>
    <d v="2026-01-06T00:00:00"/>
    <x v="2"/>
    <x v="0"/>
    <s v="Sydney"/>
    <s v="Taylor"/>
    <s v="C174"/>
    <s v="Corporate"/>
    <x v="6"/>
    <s v="Cheesecake Slice"/>
    <s v="N/A"/>
    <n v="1"/>
    <n v="5.33"/>
    <n v="10"/>
    <n v="4.8"/>
    <x v="2"/>
    <x v="0"/>
    <s v="No"/>
    <s v="Low Stock"/>
    <n v="5"/>
    <s v="No"/>
  </r>
  <r>
    <n v="1292"/>
    <d v="2026-03-17T00:00:00"/>
    <x v="0"/>
    <x v="0"/>
    <s v="Sydney"/>
    <s v="Mia"/>
    <s v="C145"/>
    <s v="Returning"/>
    <x v="4"/>
    <s v="Veggie Wrap"/>
    <s v="N/A"/>
    <n v="4"/>
    <n v="8.58"/>
    <n v="0"/>
    <n v="34.32"/>
    <x v="1"/>
    <x v="1"/>
    <s v="Yes"/>
    <s v="Available"/>
    <n v="3"/>
    <s v="Yes"/>
  </r>
  <r>
    <n v="1293"/>
    <d v="2026-01-22T00:00:00"/>
    <x v="2"/>
    <x v="4"/>
    <s v="Sydney"/>
    <s v="Chris"/>
    <s v="C177"/>
    <s v="Corporate"/>
    <x v="0"/>
    <s v="Espresso"/>
    <s v="L"/>
    <n v="3"/>
    <n v="6.29"/>
    <n v="0"/>
    <n v="18.87"/>
    <x v="0"/>
    <x v="2"/>
    <s v="Yes"/>
    <s v="Low Stock"/>
    <n v="4"/>
    <s v="No"/>
  </r>
  <r>
    <n v="1294"/>
    <d v="2026-01-15T00:00:00"/>
    <x v="2"/>
    <x v="3"/>
    <s v="Sydney"/>
    <s v="Alex"/>
    <s v="C131"/>
    <s v="New"/>
    <x v="6"/>
    <s v="Cheesecake Slice"/>
    <s v="N/A"/>
    <n v="4"/>
    <n v="4.8899999999999997"/>
    <n v="0"/>
    <n v="19.559999999999999"/>
    <x v="3"/>
    <x v="2"/>
    <s v="Yes"/>
    <s v="Available"/>
    <n v="3"/>
    <s v="No"/>
  </r>
  <r>
    <n v="1295"/>
    <d v="2026-03-15T00:00:00"/>
    <x v="0"/>
    <x v="4"/>
    <s v="Sydney"/>
    <s v="Alex"/>
    <s v="C212"/>
    <s v="Corporate"/>
    <x v="0"/>
    <s v="Cappuccino"/>
    <s v="M"/>
    <n v="2"/>
    <n v="5.86"/>
    <n v="5"/>
    <n v="11.13"/>
    <x v="4"/>
    <x v="0"/>
    <s v="Yes"/>
    <s v="Low Stock"/>
    <n v="3"/>
    <s v="Yes"/>
  </r>
  <r>
    <n v="1296"/>
    <d v="2026-03-03T00:00:00"/>
    <x v="0"/>
    <x v="4"/>
    <s v="Sydney"/>
    <s v="Taylor"/>
    <s v="C121"/>
    <s v="Corporate"/>
    <x v="3"/>
    <s v="Cold Brew"/>
    <s v="L"/>
    <n v="2"/>
    <n v="7.82"/>
    <n v="0"/>
    <n v="15.64"/>
    <x v="4"/>
    <x v="1"/>
    <s v="Yes"/>
    <s v="Available"/>
    <n v="3"/>
    <s v="Yes"/>
  </r>
  <r>
    <n v="1297"/>
    <d v="2026-02-19T00:00:00"/>
    <x v="1"/>
    <x v="4"/>
    <s v="Sydney"/>
    <s v="Priya"/>
    <s v="C160"/>
    <s v="Corporate"/>
    <x v="0"/>
    <s v="Latte"/>
    <s v="S"/>
    <n v="4"/>
    <n v="5.44"/>
    <n v="10"/>
    <n v="19.579999999999998"/>
    <x v="2"/>
    <x v="0"/>
    <s v="Yes"/>
    <s v="Available"/>
    <n v="3"/>
    <s v="Yes"/>
  </r>
  <r>
    <n v="1298"/>
    <d v="2026-03-26T00:00:00"/>
    <x v="0"/>
    <x v="4"/>
    <s v="Sydney"/>
    <s v="Mia"/>
    <s v="C147"/>
    <s v="New"/>
    <x v="4"/>
    <s v="Ham Toastie"/>
    <s v="N/A"/>
    <n v="1"/>
    <n v="8.51"/>
    <n v="5"/>
    <n v="8.08"/>
    <x v="2"/>
    <x v="1"/>
    <s v="Yes"/>
    <s v="Low Stock"/>
    <n v="3"/>
    <s v="Yes"/>
  </r>
  <r>
    <n v="1299"/>
    <d v="2026-02-14T00:00:00"/>
    <x v="1"/>
    <x v="1"/>
    <s v="Sydney"/>
    <s v="Sam"/>
    <s v="C136"/>
    <s v="Corporate"/>
    <x v="1"/>
    <s v="Coffee Beans 1kg"/>
    <s v="N/A"/>
    <n v="4"/>
    <n v="17.82"/>
    <n v="5"/>
    <n v="67.72"/>
    <x v="2"/>
    <x v="1"/>
    <s v="No"/>
    <s v="Available"/>
    <n v="4"/>
    <s v="No"/>
  </r>
  <r>
    <n v="1300"/>
    <d v="2026-01-01T00:00:00"/>
    <x v="2"/>
    <x v="1"/>
    <s v="Sydney"/>
    <s v="Mia"/>
    <s v="C146"/>
    <s v="New"/>
    <x v="4"/>
    <s v="Chicken Sandwich"/>
    <s v="N/A"/>
    <n v="1"/>
    <n v="8.0399999999999991"/>
    <n v="0"/>
    <n v="8.0399999999999991"/>
    <x v="3"/>
    <x v="1"/>
    <s v="No"/>
    <s v="Low Stock"/>
    <n v="5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49D06-B01B-4CA1-AFA3-8D4D5299936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1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3"/>
        <item x="6"/>
        <item x="0"/>
        <item x="5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8">
    <i>
      <x v="4"/>
    </i>
    <i>
      <x v="6"/>
    </i>
    <i>
      <x/>
    </i>
    <i>
      <x v="2"/>
    </i>
    <i>
      <x v="5"/>
    </i>
    <i>
      <x v="1"/>
    </i>
    <i>
      <x v="3"/>
    </i>
    <i t="grand">
      <x/>
    </i>
  </rowItems>
  <colItems count="1">
    <i/>
  </colItems>
  <dataFields count="1">
    <dataField name="Sum of Total_Sales" fld="14" baseField="0" baseItem="0"/>
  </dataFields>
  <chartFormats count="3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688FF-313F-4480-B5E5-4BD2275A69B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14" baseField="0" baseItem="0"/>
  </dataFields>
  <chartFormats count="4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FF013-F03D-4E54-A748-34CF8A5AEF0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1">
    <pivotField showAll="0"/>
    <pivotField numFmtId="14" showAll="0"/>
    <pivotField showAll="0">
      <items count="4">
        <item x="2"/>
        <item x="1"/>
        <item x="0"/>
        <item t="default"/>
      </items>
    </pivotField>
    <pivotField axis="axisRow" showAll="0" sortType="descending">
      <items count="6"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3"/>
    </i>
    <i>
      <x v="4"/>
    </i>
    <i>
      <x v="2"/>
    </i>
    <i>
      <x v="1"/>
    </i>
    <i t="grand">
      <x/>
    </i>
  </rowItems>
  <colItems count="1">
    <i/>
  </colItems>
  <dataFields count="1">
    <dataField name="Sum of Total_Sales" fld="14" baseField="0" baseItem="0"/>
  </dataField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8B2C9-FEEB-4ACA-B7A4-8740A813522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21">
    <pivotField showAll="0"/>
    <pivotField numFmtId="14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14" baseField="0" baseItem="0"/>
  </dataFields>
  <chartFormats count="2"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54CD6-A88E-49AF-A2AB-EFDCD8C48E1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5"/>
  </rowFields>
  <rowItems count="6"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Sum of Total_Sales" fld="14" baseField="0" baseItem="0"/>
  </dataFields>
  <chartFormats count="4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5567-7E20-4F27-8699-069EB4259A3E}">
  <dimension ref="A3:B11"/>
  <sheetViews>
    <sheetView workbookViewId="0">
      <selection activeCell="B18" sqref="B18"/>
    </sheetView>
  </sheetViews>
  <sheetFormatPr defaultRowHeight="14.4" x14ac:dyDescent="0.3"/>
  <cols>
    <col min="1" max="1" width="12.44140625" bestFit="1" customWidth="1"/>
    <col min="2" max="2" width="16.5546875" bestFit="1" customWidth="1"/>
  </cols>
  <sheetData>
    <row r="3" spans="1:2" x14ac:dyDescent="0.3">
      <c r="A3" s="2" t="s">
        <v>202</v>
      </c>
      <c r="B3" t="s">
        <v>204</v>
      </c>
    </row>
    <row r="4" spans="1:2" x14ac:dyDescent="0.3">
      <c r="A4" s="3" t="s">
        <v>47</v>
      </c>
      <c r="B4">
        <v>2554.4299999999989</v>
      </c>
    </row>
    <row r="5" spans="1:2" x14ac:dyDescent="0.3">
      <c r="A5" s="3" t="s">
        <v>55</v>
      </c>
      <c r="B5">
        <v>710.15</v>
      </c>
    </row>
    <row r="6" spans="1:2" x14ac:dyDescent="0.3">
      <c r="A6" s="3" t="s">
        <v>61</v>
      </c>
      <c r="B6">
        <v>611.98999999999978</v>
      </c>
    </row>
    <row r="7" spans="1:2" x14ac:dyDescent="0.3">
      <c r="A7" s="3" t="s">
        <v>27</v>
      </c>
      <c r="B7">
        <v>595.6099999999999</v>
      </c>
    </row>
    <row r="8" spans="1:2" x14ac:dyDescent="0.3">
      <c r="A8" s="3" t="s">
        <v>73</v>
      </c>
      <c r="B8">
        <v>595.07000000000005</v>
      </c>
    </row>
    <row r="9" spans="1:2" x14ac:dyDescent="0.3">
      <c r="A9" s="3" t="s">
        <v>89</v>
      </c>
      <c r="B9">
        <v>580.88</v>
      </c>
    </row>
    <row r="10" spans="1:2" x14ac:dyDescent="0.3">
      <c r="A10" s="3" t="s">
        <v>81</v>
      </c>
      <c r="B10">
        <v>342.92000000000007</v>
      </c>
    </row>
    <row r="11" spans="1:2" x14ac:dyDescent="0.3">
      <c r="A11" s="3" t="s">
        <v>203</v>
      </c>
      <c r="B11">
        <v>5991.0499999999975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DD66-73FE-4229-B21E-5763A7BD62F6}">
  <dimension ref="A3:B7"/>
  <sheetViews>
    <sheetView workbookViewId="0">
      <selection activeCell="C3" sqref="C3"/>
    </sheetView>
  </sheetViews>
  <sheetFormatPr defaultRowHeight="14.4" x14ac:dyDescent="0.3"/>
  <cols>
    <col min="1" max="1" width="12.44140625" bestFit="1" customWidth="1"/>
    <col min="2" max="2" width="16.5546875" bestFit="1" customWidth="1"/>
  </cols>
  <sheetData>
    <row r="3" spans="1:2" x14ac:dyDescent="0.3">
      <c r="A3" s="2" t="s">
        <v>202</v>
      </c>
      <c r="B3" t="s">
        <v>204</v>
      </c>
    </row>
    <row r="4" spans="1:2" x14ac:dyDescent="0.3">
      <c r="A4" s="3" t="s">
        <v>63</v>
      </c>
      <c r="B4">
        <v>1620.049999999999</v>
      </c>
    </row>
    <row r="5" spans="1:2" x14ac:dyDescent="0.3">
      <c r="A5" s="3" t="s">
        <v>31</v>
      </c>
      <c r="B5">
        <v>2167.1999999999994</v>
      </c>
    </row>
    <row r="6" spans="1:2" x14ac:dyDescent="0.3">
      <c r="A6" s="3" t="s">
        <v>41</v>
      </c>
      <c r="B6">
        <v>2203.7999999999997</v>
      </c>
    </row>
    <row r="7" spans="1:2" x14ac:dyDescent="0.3">
      <c r="A7" s="3" t="s">
        <v>203</v>
      </c>
      <c r="B7">
        <v>5991.0499999999975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B432-11AD-4A50-85BE-342B8D3C20FA}">
  <dimension ref="A3:B9"/>
  <sheetViews>
    <sheetView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2" x14ac:dyDescent="0.3">
      <c r="A3" s="2" t="s">
        <v>202</v>
      </c>
      <c r="B3" t="s">
        <v>204</v>
      </c>
    </row>
    <row r="4" spans="1:2" x14ac:dyDescent="0.3">
      <c r="A4" s="3" t="s">
        <v>35</v>
      </c>
      <c r="B4">
        <v>1569.7199999999996</v>
      </c>
    </row>
    <row r="5" spans="1:2" x14ac:dyDescent="0.3">
      <c r="A5" s="3" t="s">
        <v>77</v>
      </c>
      <c r="B5">
        <v>1401.1</v>
      </c>
    </row>
    <row r="6" spans="1:2" x14ac:dyDescent="0.3">
      <c r="A6" s="3" t="s">
        <v>22</v>
      </c>
      <c r="B6">
        <v>1043.3400000000001</v>
      </c>
    </row>
    <row r="7" spans="1:2" x14ac:dyDescent="0.3">
      <c r="A7" s="3" t="s">
        <v>64</v>
      </c>
      <c r="B7">
        <v>1005.59</v>
      </c>
    </row>
    <row r="8" spans="1:2" x14ac:dyDescent="0.3">
      <c r="A8" s="3" t="s">
        <v>51</v>
      </c>
      <c r="B8">
        <v>971.3</v>
      </c>
    </row>
    <row r="9" spans="1:2" x14ac:dyDescent="0.3">
      <c r="A9" s="3" t="s">
        <v>203</v>
      </c>
      <c r="B9">
        <v>5991.0499999999993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1B78-E983-4DD0-91C1-E2E0CEAD8D5A}">
  <dimension ref="A3:B7"/>
  <sheetViews>
    <sheetView tabSelected="1" workbookViewId="0">
      <selection activeCell="B18" sqref="B18"/>
    </sheetView>
  </sheetViews>
  <sheetFormatPr defaultRowHeight="14.4" x14ac:dyDescent="0.3"/>
  <cols>
    <col min="1" max="1" width="12.44140625" bestFit="1" customWidth="1"/>
    <col min="2" max="2" width="16.5546875" bestFit="1" customWidth="1"/>
  </cols>
  <sheetData>
    <row r="3" spans="1:2" x14ac:dyDescent="0.3">
      <c r="A3" s="2" t="s">
        <v>202</v>
      </c>
      <c r="B3" t="s">
        <v>204</v>
      </c>
    </row>
    <row r="4" spans="1:2" x14ac:dyDescent="0.3">
      <c r="A4" s="3" t="s">
        <v>50</v>
      </c>
      <c r="B4" s="4">
        <v>1818.4999999999995</v>
      </c>
    </row>
    <row r="5" spans="1:2" x14ac:dyDescent="0.3">
      <c r="A5" s="3" t="s">
        <v>42</v>
      </c>
      <c r="B5" s="4">
        <v>1880.8199999999995</v>
      </c>
    </row>
    <row r="6" spans="1:2" x14ac:dyDescent="0.3">
      <c r="A6" s="3" t="s">
        <v>21</v>
      </c>
      <c r="B6" s="4">
        <v>2291.7299999999991</v>
      </c>
    </row>
    <row r="7" spans="1:2" x14ac:dyDescent="0.3">
      <c r="A7" s="3" t="s">
        <v>203</v>
      </c>
      <c r="B7" s="4">
        <v>5991.0499999999975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FF368-74F5-4317-8A28-988F80430E20}">
  <dimension ref="A3:B9"/>
  <sheetViews>
    <sheetView workbookViewId="0">
      <selection activeCell="D3" sqref="D3"/>
    </sheetView>
  </sheetViews>
  <sheetFormatPr defaultRowHeight="14.4" x14ac:dyDescent="0.3"/>
  <cols>
    <col min="1" max="1" width="12.44140625" bestFit="1" customWidth="1"/>
    <col min="2" max="2" width="16.5546875" bestFit="1" customWidth="1"/>
  </cols>
  <sheetData>
    <row r="3" spans="1:2" x14ac:dyDescent="0.3">
      <c r="A3" s="2" t="s">
        <v>202</v>
      </c>
      <c r="B3" t="s">
        <v>204</v>
      </c>
    </row>
    <row r="4" spans="1:2" x14ac:dyDescent="0.3">
      <c r="A4" s="3" t="s">
        <v>58</v>
      </c>
      <c r="B4">
        <v>784.52999999999975</v>
      </c>
    </row>
    <row r="5" spans="1:2" x14ac:dyDescent="0.3">
      <c r="A5" s="3" t="s">
        <v>40</v>
      </c>
      <c r="B5">
        <v>1158.7100000000003</v>
      </c>
    </row>
    <row r="6" spans="1:2" x14ac:dyDescent="0.3">
      <c r="A6" s="3" t="s">
        <v>30</v>
      </c>
      <c r="B6">
        <v>1304.4499999999991</v>
      </c>
    </row>
    <row r="7" spans="1:2" x14ac:dyDescent="0.3">
      <c r="A7" s="3" t="s">
        <v>71</v>
      </c>
      <c r="B7">
        <v>1312.3100000000006</v>
      </c>
    </row>
    <row r="8" spans="1:2" x14ac:dyDescent="0.3">
      <c r="A8" s="3" t="s">
        <v>199</v>
      </c>
      <c r="B8">
        <v>1431.0499999999995</v>
      </c>
    </row>
    <row r="9" spans="1:2" x14ac:dyDescent="0.3">
      <c r="A9" s="3" t="s">
        <v>203</v>
      </c>
      <c r="B9">
        <v>5991.0499999999984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3557-8521-4C48-98CB-B7050DA0FAD3}">
  <dimension ref="U2:V5"/>
  <sheetViews>
    <sheetView workbookViewId="0">
      <selection activeCell="V10" sqref="V10"/>
    </sheetView>
  </sheetViews>
  <sheetFormatPr defaultRowHeight="14.4" x14ac:dyDescent="0.3"/>
  <cols>
    <col min="21" max="21" width="12.109375" bestFit="1" customWidth="1"/>
    <col min="22" max="22" width="12.5546875" bestFit="1" customWidth="1"/>
  </cols>
  <sheetData>
    <row r="2" spans="21:22" x14ac:dyDescent="0.3">
      <c r="U2" s="5" t="s">
        <v>205</v>
      </c>
      <c r="V2" s="6">
        <f>SUM('Sales Raw Data'!O:O)</f>
        <v>5991.0500000000084</v>
      </c>
    </row>
    <row r="3" spans="21:22" x14ac:dyDescent="0.3">
      <c r="U3" s="5" t="s">
        <v>206</v>
      </c>
      <c r="V3" s="7">
        <f>COUNTA('Sales Raw Data'!L:L)</f>
        <v>301</v>
      </c>
    </row>
    <row r="4" spans="21:22" x14ac:dyDescent="0.3">
      <c r="U4" s="5" t="s">
        <v>207</v>
      </c>
      <c r="V4" s="7" t="s">
        <v>47</v>
      </c>
    </row>
    <row r="5" spans="21:22" x14ac:dyDescent="0.3">
      <c r="U5" s="5" t="s">
        <v>208</v>
      </c>
      <c r="V5" s="8" t="s">
        <v>35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77BB5-A5A9-4F20-90B2-32CB256BEAC0}">
  <dimension ref="A1:U301"/>
  <sheetViews>
    <sheetView workbookViewId="0">
      <selection activeCell="J17" sqref="J17"/>
    </sheetView>
  </sheetViews>
  <sheetFormatPr defaultRowHeight="14.4" x14ac:dyDescent="0.3"/>
  <cols>
    <col min="2" max="2" width="10.21875" bestFit="1" customWidth="1"/>
    <col min="4" max="4" width="12.5546875" bestFit="1" customWidth="1"/>
    <col min="6" max="6" width="12.33203125" bestFit="1" customWidth="1"/>
    <col min="7" max="7" width="11.33203125" bestFit="1" customWidth="1"/>
    <col min="8" max="8" width="13.44140625" bestFit="1" customWidth="1"/>
    <col min="9" max="9" width="15.33203125" bestFit="1" customWidth="1"/>
    <col min="10" max="10" width="17" bestFit="1" customWidth="1"/>
    <col min="14" max="14" width="10.44140625" bestFit="1" customWidth="1"/>
    <col min="15" max="15" width="10" bestFit="1" customWidth="1"/>
    <col min="16" max="16" width="14.88671875" bestFit="1" customWidth="1"/>
    <col min="17" max="17" width="13.21875" bestFit="1" customWidth="1"/>
    <col min="18" max="18" width="14" bestFit="1" customWidth="1"/>
    <col min="19" max="19" width="11.21875" bestFit="1" customWidth="1"/>
    <col min="20" max="20" width="14.77734375" bestFit="1" customWidth="1"/>
    <col min="21" max="21" width="13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1001</v>
      </c>
      <c r="B2" s="1">
        <v>46104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2</v>
      </c>
      <c r="M2">
        <v>4.83</v>
      </c>
      <c r="N2">
        <v>0</v>
      </c>
      <c r="O2">
        <v>9.66</v>
      </c>
      <c r="P2" t="s">
        <v>30</v>
      </c>
      <c r="Q2" t="s">
        <v>31</v>
      </c>
      <c r="R2" t="s">
        <v>32</v>
      </c>
      <c r="S2" t="s">
        <v>33</v>
      </c>
      <c r="T2">
        <v>3</v>
      </c>
      <c r="U2" t="s">
        <v>34</v>
      </c>
    </row>
    <row r="3" spans="1:21" x14ac:dyDescent="0.3">
      <c r="A3">
        <v>1002</v>
      </c>
      <c r="B3" s="1">
        <v>46087</v>
      </c>
      <c r="C3" t="s">
        <v>21</v>
      </c>
      <c r="D3" t="s">
        <v>35</v>
      </c>
      <c r="E3" t="s">
        <v>23</v>
      </c>
      <c r="F3" t="s">
        <v>36</v>
      </c>
      <c r="G3" t="s">
        <v>37</v>
      </c>
      <c r="H3" t="s">
        <v>38</v>
      </c>
      <c r="I3" t="s">
        <v>27</v>
      </c>
      <c r="J3" t="s">
        <v>39</v>
      </c>
      <c r="K3" t="s">
        <v>29</v>
      </c>
      <c r="L3">
        <v>4</v>
      </c>
      <c r="M3">
        <v>4.9000000000000004</v>
      </c>
      <c r="N3">
        <v>10</v>
      </c>
      <c r="O3">
        <v>17.64</v>
      </c>
      <c r="P3" t="s">
        <v>40</v>
      </c>
      <c r="Q3" t="s">
        <v>41</v>
      </c>
      <c r="R3" t="s">
        <v>34</v>
      </c>
      <c r="S3" t="s">
        <v>33</v>
      </c>
      <c r="T3">
        <v>5</v>
      </c>
      <c r="U3" t="s">
        <v>34</v>
      </c>
    </row>
    <row r="4" spans="1:21" x14ac:dyDescent="0.3">
      <c r="A4">
        <v>1003</v>
      </c>
      <c r="B4" s="1">
        <v>46066</v>
      </c>
      <c r="C4" t="s">
        <v>42</v>
      </c>
      <c r="D4" t="s">
        <v>22</v>
      </c>
      <c r="E4" t="s">
        <v>23</v>
      </c>
      <c r="F4" t="s">
        <v>36</v>
      </c>
      <c r="G4" t="s">
        <v>43</v>
      </c>
      <c r="H4" t="s">
        <v>26</v>
      </c>
      <c r="I4" t="s">
        <v>27</v>
      </c>
      <c r="J4" t="s">
        <v>44</v>
      </c>
      <c r="K4" t="s">
        <v>29</v>
      </c>
      <c r="L4">
        <v>3</v>
      </c>
      <c r="M4">
        <v>5.46</v>
      </c>
      <c r="N4">
        <v>10</v>
      </c>
      <c r="O4">
        <v>14.74</v>
      </c>
      <c r="P4" t="s">
        <v>199</v>
      </c>
      <c r="Q4" t="s">
        <v>31</v>
      </c>
      <c r="R4" t="s">
        <v>34</v>
      </c>
      <c r="S4" t="s">
        <v>33</v>
      </c>
      <c r="T4">
        <v>5</v>
      </c>
      <c r="U4" t="s">
        <v>34</v>
      </c>
    </row>
    <row r="5" spans="1:21" x14ac:dyDescent="0.3">
      <c r="A5">
        <v>1004</v>
      </c>
      <c r="B5" s="1">
        <v>46103</v>
      </c>
      <c r="C5" t="s">
        <v>21</v>
      </c>
      <c r="D5" t="s">
        <v>35</v>
      </c>
      <c r="E5" t="s">
        <v>23</v>
      </c>
      <c r="F5" t="s">
        <v>45</v>
      </c>
      <c r="G5" t="s">
        <v>46</v>
      </c>
      <c r="H5" t="s">
        <v>38</v>
      </c>
      <c r="I5" t="s">
        <v>47</v>
      </c>
      <c r="J5" t="s">
        <v>48</v>
      </c>
      <c r="K5" t="s">
        <v>200</v>
      </c>
      <c r="L5">
        <v>2</v>
      </c>
      <c r="M5">
        <v>18.329999999999998</v>
      </c>
      <c r="N5">
        <v>0</v>
      </c>
      <c r="O5">
        <v>36.659999999999997</v>
      </c>
      <c r="P5" t="s">
        <v>30</v>
      </c>
      <c r="Q5" t="s">
        <v>41</v>
      </c>
      <c r="R5" t="s">
        <v>34</v>
      </c>
      <c r="S5" t="s">
        <v>49</v>
      </c>
      <c r="T5">
        <v>4</v>
      </c>
      <c r="U5" t="s">
        <v>34</v>
      </c>
    </row>
    <row r="6" spans="1:21" x14ac:dyDescent="0.3">
      <c r="A6">
        <v>1005</v>
      </c>
      <c r="B6" s="1">
        <v>46043</v>
      </c>
      <c r="C6" t="s">
        <v>50</v>
      </c>
      <c r="D6" t="s">
        <v>51</v>
      </c>
      <c r="E6" t="s">
        <v>23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>
        <v>3</v>
      </c>
      <c r="M6">
        <v>6.23</v>
      </c>
      <c r="N6">
        <v>0</v>
      </c>
      <c r="O6">
        <v>18.690000000000001</v>
      </c>
      <c r="P6" t="s">
        <v>58</v>
      </c>
      <c r="Q6" t="s">
        <v>31</v>
      </c>
      <c r="R6" t="s">
        <v>34</v>
      </c>
      <c r="S6" t="s">
        <v>49</v>
      </c>
      <c r="T6">
        <v>3</v>
      </c>
      <c r="U6" t="s">
        <v>34</v>
      </c>
    </row>
    <row r="7" spans="1:21" x14ac:dyDescent="0.3">
      <c r="A7">
        <v>1006</v>
      </c>
      <c r="B7" s="1">
        <v>46104</v>
      </c>
      <c r="C7" t="s">
        <v>21</v>
      </c>
      <c r="D7" t="s">
        <v>35</v>
      </c>
      <c r="E7" t="s">
        <v>23</v>
      </c>
      <c r="F7" t="s">
        <v>59</v>
      </c>
      <c r="G7" t="s">
        <v>60</v>
      </c>
      <c r="H7" t="s">
        <v>38</v>
      </c>
      <c r="I7" t="s">
        <v>61</v>
      </c>
      <c r="J7" t="s">
        <v>201</v>
      </c>
      <c r="K7" t="s">
        <v>62</v>
      </c>
      <c r="L7">
        <v>1</v>
      </c>
      <c r="M7">
        <v>6.61</v>
      </c>
      <c r="N7">
        <v>0</v>
      </c>
      <c r="O7">
        <v>6.61</v>
      </c>
      <c r="P7" t="s">
        <v>58</v>
      </c>
      <c r="Q7" t="s">
        <v>63</v>
      </c>
      <c r="R7" t="s">
        <v>34</v>
      </c>
      <c r="S7" t="s">
        <v>33</v>
      </c>
      <c r="T7">
        <v>5</v>
      </c>
      <c r="U7" t="s">
        <v>32</v>
      </c>
    </row>
    <row r="8" spans="1:21" x14ac:dyDescent="0.3">
      <c r="A8">
        <v>1007</v>
      </c>
      <c r="B8" s="1">
        <v>46073</v>
      </c>
      <c r="C8" t="s">
        <v>42</v>
      </c>
      <c r="D8" t="s">
        <v>64</v>
      </c>
      <c r="E8" t="s">
        <v>23</v>
      </c>
      <c r="F8" t="s">
        <v>59</v>
      </c>
      <c r="G8" t="s">
        <v>65</v>
      </c>
      <c r="H8" t="s">
        <v>54</v>
      </c>
      <c r="I8" t="s">
        <v>61</v>
      </c>
      <c r="J8" t="s">
        <v>66</v>
      </c>
      <c r="K8" t="s">
        <v>29</v>
      </c>
      <c r="L8">
        <v>2</v>
      </c>
      <c r="M8">
        <v>6.37</v>
      </c>
      <c r="N8">
        <v>10</v>
      </c>
      <c r="O8">
        <v>11.47</v>
      </c>
      <c r="P8" t="s">
        <v>40</v>
      </c>
      <c r="Q8" t="s">
        <v>41</v>
      </c>
      <c r="R8" t="s">
        <v>32</v>
      </c>
      <c r="S8" t="s">
        <v>33</v>
      </c>
      <c r="T8">
        <v>5</v>
      </c>
      <c r="U8" t="s">
        <v>32</v>
      </c>
    </row>
    <row r="9" spans="1:21" x14ac:dyDescent="0.3">
      <c r="A9">
        <v>1008</v>
      </c>
      <c r="B9" s="1">
        <v>46034</v>
      </c>
      <c r="C9" t="s">
        <v>50</v>
      </c>
      <c r="D9" t="s">
        <v>22</v>
      </c>
      <c r="E9" t="s">
        <v>23</v>
      </c>
      <c r="F9" t="s">
        <v>24</v>
      </c>
      <c r="G9" t="s">
        <v>67</v>
      </c>
      <c r="H9" t="s">
        <v>26</v>
      </c>
      <c r="I9" t="s">
        <v>47</v>
      </c>
      <c r="J9" t="s">
        <v>68</v>
      </c>
      <c r="K9" t="s">
        <v>200</v>
      </c>
      <c r="L9">
        <v>2</v>
      </c>
      <c r="M9">
        <v>18.260000000000002</v>
      </c>
      <c r="N9">
        <v>5</v>
      </c>
      <c r="O9">
        <v>34.69</v>
      </c>
      <c r="P9" t="s">
        <v>199</v>
      </c>
      <c r="Q9" t="s">
        <v>41</v>
      </c>
      <c r="R9" t="s">
        <v>34</v>
      </c>
      <c r="S9" t="s">
        <v>33</v>
      </c>
      <c r="T9">
        <v>3</v>
      </c>
      <c r="U9" t="s">
        <v>34</v>
      </c>
    </row>
    <row r="10" spans="1:21" x14ac:dyDescent="0.3">
      <c r="A10">
        <v>1009</v>
      </c>
      <c r="B10" s="1">
        <v>46110</v>
      </c>
      <c r="C10" t="s">
        <v>21</v>
      </c>
      <c r="D10" t="s">
        <v>35</v>
      </c>
      <c r="E10" t="s">
        <v>23</v>
      </c>
      <c r="F10" t="s">
        <v>69</v>
      </c>
      <c r="G10" t="s">
        <v>70</v>
      </c>
      <c r="H10" t="s">
        <v>54</v>
      </c>
      <c r="I10" t="s">
        <v>47</v>
      </c>
      <c r="J10" t="s">
        <v>48</v>
      </c>
      <c r="K10" t="s">
        <v>200</v>
      </c>
      <c r="L10">
        <v>3</v>
      </c>
      <c r="M10">
        <v>17.8</v>
      </c>
      <c r="N10">
        <v>5</v>
      </c>
      <c r="O10">
        <v>50.73</v>
      </c>
      <c r="P10" t="s">
        <v>71</v>
      </c>
      <c r="Q10" t="s">
        <v>63</v>
      </c>
      <c r="R10" t="s">
        <v>32</v>
      </c>
      <c r="S10" t="s">
        <v>33</v>
      </c>
      <c r="T10">
        <v>4</v>
      </c>
      <c r="U10" t="s">
        <v>34</v>
      </c>
    </row>
    <row r="11" spans="1:21" x14ac:dyDescent="0.3">
      <c r="A11">
        <v>1010</v>
      </c>
      <c r="B11" s="1">
        <v>46104</v>
      </c>
      <c r="C11" t="s">
        <v>21</v>
      </c>
      <c r="D11" t="s">
        <v>35</v>
      </c>
      <c r="E11" t="s">
        <v>23</v>
      </c>
      <c r="F11" t="s">
        <v>36</v>
      </c>
      <c r="G11" t="s">
        <v>72</v>
      </c>
      <c r="H11" t="s">
        <v>26</v>
      </c>
      <c r="I11" t="s">
        <v>73</v>
      </c>
      <c r="J11" t="s">
        <v>74</v>
      </c>
      <c r="K11" t="s">
        <v>200</v>
      </c>
      <c r="L11">
        <v>2</v>
      </c>
      <c r="M11">
        <v>8.0399999999999991</v>
      </c>
      <c r="N11">
        <v>0</v>
      </c>
      <c r="O11">
        <v>16.079999999999998</v>
      </c>
      <c r="P11" t="s">
        <v>40</v>
      </c>
      <c r="Q11" t="s">
        <v>31</v>
      </c>
      <c r="R11" t="s">
        <v>32</v>
      </c>
      <c r="S11" t="s">
        <v>49</v>
      </c>
      <c r="T11">
        <v>3</v>
      </c>
      <c r="U11" t="s">
        <v>34</v>
      </c>
    </row>
    <row r="12" spans="1:21" x14ac:dyDescent="0.3">
      <c r="A12">
        <v>1011</v>
      </c>
      <c r="B12" s="1">
        <v>46053</v>
      </c>
      <c r="C12" t="s">
        <v>50</v>
      </c>
      <c r="D12" t="s">
        <v>22</v>
      </c>
      <c r="E12" t="s">
        <v>23</v>
      </c>
      <c r="F12" t="s">
        <v>52</v>
      </c>
      <c r="G12" t="s">
        <v>75</v>
      </c>
      <c r="H12" t="s">
        <v>54</v>
      </c>
      <c r="I12" t="s">
        <v>61</v>
      </c>
      <c r="J12" t="s">
        <v>201</v>
      </c>
      <c r="K12" t="s">
        <v>29</v>
      </c>
      <c r="L12">
        <v>1</v>
      </c>
      <c r="M12">
        <v>6.36</v>
      </c>
      <c r="N12">
        <v>0</v>
      </c>
      <c r="O12">
        <v>6.36</v>
      </c>
      <c r="P12" t="s">
        <v>40</v>
      </c>
      <c r="Q12" t="s">
        <v>63</v>
      </c>
      <c r="R12" t="s">
        <v>32</v>
      </c>
      <c r="S12" t="s">
        <v>49</v>
      </c>
      <c r="T12">
        <v>3</v>
      </c>
      <c r="U12" t="s">
        <v>32</v>
      </c>
    </row>
    <row r="13" spans="1:21" x14ac:dyDescent="0.3">
      <c r="A13">
        <v>1012</v>
      </c>
      <c r="B13" s="1">
        <v>46050</v>
      </c>
      <c r="C13" t="s">
        <v>50</v>
      </c>
      <c r="D13" t="s">
        <v>35</v>
      </c>
      <c r="E13" t="s">
        <v>23</v>
      </c>
      <c r="F13" t="s">
        <v>69</v>
      </c>
      <c r="G13" t="s">
        <v>76</v>
      </c>
      <c r="H13" t="s">
        <v>38</v>
      </c>
      <c r="I13" t="s">
        <v>47</v>
      </c>
      <c r="J13" t="s">
        <v>68</v>
      </c>
      <c r="K13" t="s">
        <v>200</v>
      </c>
      <c r="L13">
        <v>3</v>
      </c>
      <c r="M13">
        <v>18.059999999999999</v>
      </c>
      <c r="N13">
        <v>0</v>
      </c>
      <c r="O13">
        <v>54.18</v>
      </c>
      <c r="P13" t="s">
        <v>58</v>
      </c>
      <c r="Q13" t="s">
        <v>31</v>
      </c>
      <c r="R13" t="s">
        <v>34</v>
      </c>
      <c r="S13" t="s">
        <v>33</v>
      </c>
      <c r="T13">
        <v>3</v>
      </c>
      <c r="U13" t="s">
        <v>34</v>
      </c>
    </row>
    <row r="14" spans="1:21" x14ac:dyDescent="0.3">
      <c r="A14">
        <v>1013</v>
      </c>
      <c r="B14" s="1">
        <v>46098</v>
      </c>
      <c r="C14" t="s">
        <v>21</v>
      </c>
      <c r="D14" t="s">
        <v>77</v>
      </c>
      <c r="E14" t="s">
        <v>23</v>
      </c>
      <c r="F14" t="s">
        <v>24</v>
      </c>
      <c r="G14" t="s">
        <v>78</v>
      </c>
      <c r="H14" t="s">
        <v>38</v>
      </c>
      <c r="I14" t="s">
        <v>27</v>
      </c>
      <c r="J14" t="s">
        <v>79</v>
      </c>
      <c r="K14" t="s">
        <v>57</v>
      </c>
      <c r="L14">
        <v>1</v>
      </c>
      <c r="M14">
        <v>6.31</v>
      </c>
      <c r="N14">
        <v>0</v>
      </c>
      <c r="O14">
        <v>6.31</v>
      </c>
      <c r="P14" t="s">
        <v>71</v>
      </c>
      <c r="Q14" t="s">
        <v>63</v>
      </c>
      <c r="R14" t="s">
        <v>34</v>
      </c>
      <c r="S14" t="s">
        <v>33</v>
      </c>
      <c r="T14">
        <v>5</v>
      </c>
      <c r="U14" t="s">
        <v>34</v>
      </c>
    </row>
    <row r="15" spans="1:21" x14ac:dyDescent="0.3">
      <c r="A15">
        <v>1014</v>
      </c>
      <c r="B15" s="1">
        <v>46096</v>
      </c>
      <c r="C15" t="s">
        <v>21</v>
      </c>
      <c r="D15" t="s">
        <v>35</v>
      </c>
      <c r="E15" t="s">
        <v>23</v>
      </c>
      <c r="F15" t="s">
        <v>24</v>
      </c>
      <c r="G15" t="s">
        <v>80</v>
      </c>
      <c r="H15" t="s">
        <v>26</v>
      </c>
      <c r="I15" t="s">
        <v>81</v>
      </c>
      <c r="J15" t="s">
        <v>82</v>
      </c>
      <c r="K15" t="s">
        <v>200</v>
      </c>
      <c r="L15">
        <v>4</v>
      </c>
      <c r="M15">
        <v>4.43</v>
      </c>
      <c r="N15">
        <v>0</v>
      </c>
      <c r="O15">
        <v>17.72</v>
      </c>
      <c r="P15" t="s">
        <v>71</v>
      </c>
      <c r="Q15" t="s">
        <v>41</v>
      </c>
      <c r="R15" t="s">
        <v>34</v>
      </c>
      <c r="S15" t="s">
        <v>49</v>
      </c>
      <c r="T15">
        <v>3</v>
      </c>
      <c r="U15" t="s">
        <v>34</v>
      </c>
    </row>
    <row r="16" spans="1:21" x14ac:dyDescent="0.3">
      <c r="A16">
        <v>1015</v>
      </c>
      <c r="B16" s="1">
        <v>46109</v>
      </c>
      <c r="C16" t="s">
        <v>21</v>
      </c>
      <c r="D16" t="s">
        <v>22</v>
      </c>
      <c r="E16" t="s">
        <v>23</v>
      </c>
      <c r="F16" t="s">
        <v>83</v>
      </c>
      <c r="G16" t="s">
        <v>84</v>
      </c>
      <c r="H16" t="s">
        <v>54</v>
      </c>
      <c r="I16" t="s">
        <v>27</v>
      </c>
      <c r="J16" t="s">
        <v>44</v>
      </c>
      <c r="K16" t="s">
        <v>57</v>
      </c>
      <c r="L16">
        <v>3</v>
      </c>
      <c r="M16">
        <v>6.82</v>
      </c>
      <c r="N16">
        <v>0</v>
      </c>
      <c r="O16">
        <v>20.46</v>
      </c>
      <c r="P16" t="s">
        <v>40</v>
      </c>
      <c r="Q16" t="s">
        <v>31</v>
      </c>
      <c r="R16" t="s">
        <v>34</v>
      </c>
      <c r="S16" t="s">
        <v>33</v>
      </c>
      <c r="T16">
        <v>4</v>
      </c>
      <c r="U16" t="s">
        <v>34</v>
      </c>
    </row>
    <row r="17" spans="1:21" x14ac:dyDescent="0.3">
      <c r="A17">
        <v>1016</v>
      </c>
      <c r="B17" s="1">
        <v>46082</v>
      </c>
      <c r="C17" t="s">
        <v>21</v>
      </c>
      <c r="D17" t="s">
        <v>77</v>
      </c>
      <c r="E17" t="s">
        <v>23</v>
      </c>
      <c r="F17" t="s">
        <v>36</v>
      </c>
      <c r="G17" t="s">
        <v>85</v>
      </c>
      <c r="H17" t="s">
        <v>54</v>
      </c>
      <c r="I17" t="s">
        <v>47</v>
      </c>
      <c r="J17" t="s">
        <v>68</v>
      </c>
      <c r="K17" t="s">
        <v>200</v>
      </c>
      <c r="L17">
        <v>4</v>
      </c>
      <c r="M17">
        <v>18.43</v>
      </c>
      <c r="N17">
        <v>10</v>
      </c>
      <c r="O17">
        <v>66.349999999999994</v>
      </c>
      <c r="P17" t="s">
        <v>30</v>
      </c>
      <c r="Q17" t="s">
        <v>31</v>
      </c>
      <c r="R17" t="s">
        <v>32</v>
      </c>
      <c r="S17" t="s">
        <v>33</v>
      </c>
      <c r="T17">
        <v>3</v>
      </c>
      <c r="U17" t="s">
        <v>32</v>
      </c>
    </row>
    <row r="18" spans="1:21" x14ac:dyDescent="0.3">
      <c r="A18">
        <v>1017</v>
      </c>
      <c r="B18" s="1">
        <v>46085</v>
      </c>
      <c r="C18" t="s">
        <v>21</v>
      </c>
      <c r="D18" t="s">
        <v>64</v>
      </c>
      <c r="E18" t="s">
        <v>23</v>
      </c>
      <c r="F18" t="s">
        <v>69</v>
      </c>
      <c r="G18" t="s">
        <v>86</v>
      </c>
      <c r="H18" t="s">
        <v>26</v>
      </c>
      <c r="I18" t="s">
        <v>61</v>
      </c>
      <c r="J18" t="s">
        <v>66</v>
      </c>
      <c r="K18" t="s">
        <v>29</v>
      </c>
      <c r="L18">
        <v>2</v>
      </c>
      <c r="M18">
        <v>6.04</v>
      </c>
      <c r="N18">
        <v>5</v>
      </c>
      <c r="O18">
        <v>11.48</v>
      </c>
      <c r="P18" t="s">
        <v>199</v>
      </c>
      <c r="Q18" t="s">
        <v>63</v>
      </c>
      <c r="R18" t="s">
        <v>34</v>
      </c>
      <c r="S18" t="s">
        <v>33</v>
      </c>
      <c r="T18">
        <v>5</v>
      </c>
      <c r="U18" t="s">
        <v>34</v>
      </c>
    </row>
    <row r="19" spans="1:21" x14ac:dyDescent="0.3">
      <c r="A19">
        <v>1018</v>
      </c>
      <c r="B19" s="1">
        <v>46060</v>
      </c>
      <c r="C19" t="s">
        <v>42</v>
      </c>
      <c r="D19" t="s">
        <v>77</v>
      </c>
      <c r="E19" t="s">
        <v>23</v>
      </c>
      <c r="F19" t="s">
        <v>69</v>
      </c>
      <c r="G19" t="s">
        <v>87</v>
      </c>
      <c r="H19" t="s">
        <v>54</v>
      </c>
      <c r="I19" t="s">
        <v>27</v>
      </c>
      <c r="J19" t="s">
        <v>39</v>
      </c>
      <c r="K19" t="s">
        <v>57</v>
      </c>
      <c r="L19">
        <v>1</v>
      </c>
      <c r="M19">
        <v>6.77</v>
      </c>
      <c r="N19">
        <v>0</v>
      </c>
      <c r="O19">
        <v>6.77</v>
      </c>
      <c r="P19" t="s">
        <v>58</v>
      </c>
      <c r="Q19" t="s">
        <v>31</v>
      </c>
      <c r="R19" t="s">
        <v>32</v>
      </c>
      <c r="S19" t="s">
        <v>33</v>
      </c>
      <c r="T19">
        <v>3</v>
      </c>
      <c r="U19" t="s">
        <v>34</v>
      </c>
    </row>
    <row r="20" spans="1:21" x14ac:dyDescent="0.3">
      <c r="A20">
        <v>1019</v>
      </c>
      <c r="B20" s="1">
        <v>46099</v>
      </c>
      <c r="C20" t="s">
        <v>21</v>
      </c>
      <c r="D20" t="s">
        <v>22</v>
      </c>
      <c r="E20" t="s">
        <v>23</v>
      </c>
      <c r="F20" t="s">
        <v>36</v>
      </c>
      <c r="G20" t="s">
        <v>88</v>
      </c>
      <c r="H20" t="s">
        <v>38</v>
      </c>
      <c r="I20" t="s">
        <v>89</v>
      </c>
      <c r="J20" t="s">
        <v>90</v>
      </c>
      <c r="K20" t="s">
        <v>200</v>
      </c>
      <c r="L20">
        <v>4</v>
      </c>
      <c r="M20">
        <v>4.8099999999999996</v>
      </c>
      <c r="N20">
        <v>10</v>
      </c>
      <c r="O20">
        <v>17.32</v>
      </c>
      <c r="P20" t="s">
        <v>40</v>
      </c>
      <c r="Q20" t="s">
        <v>63</v>
      </c>
      <c r="R20" t="s">
        <v>34</v>
      </c>
      <c r="S20" t="s">
        <v>49</v>
      </c>
      <c r="T20">
        <v>4</v>
      </c>
      <c r="U20" t="s">
        <v>34</v>
      </c>
    </row>
    <row r="21" spans="1:21" x14ac:dyDescent="0.3">
      <c r="A21">
        <v>1020</v>
      </c>
      <c r="B21" s="1">
        <v>46108</v>
      </c>
      <c r="C21" t="s">
        <v>21</v>
      </c>
      <c r="D21" t="s">
        <v>51</v>
      </c>
      <c r="E21" t="s">
        <v>23</v>
      </c>
      <c r="F21" t="s">
        <v>91</v>
      </c>
      <c r="G21" t="s">
        <v>92</v>
      </c>
      <c r="H21" t="s">
        <v>38</v>
      </c>
      <c r="I21" t="s">
        <v>61</v>
      </c>
      <c r="J21" t="s">
        <v>66</v>
      </c>
      <c r="K21" t="s">
        <v>62</v>
      </c>
      <c r="L21">
        <v>2</v>
      </c>
      <c r="M21">
        <v>7</v>
      </c>
      <c r="N21">
        <v>0</v>
      </c>
      <c r="O21">
        <v>14</v>
      </c>
      <c r="P21" t="s">
        <v>30</v>
      </c>
      <c r="Q21" t="s">
        <v>41</v>
      </c>
      <c r="R21" t="s">
        <v>32</v>
      </c>
      <c r="S21" t="s">
        <v>33</v>
      </c>
      <c r="T21">
        <v>3</v>
      </c>
      <c r="U21" t="s">
        <v>34</v>
      </c>
    </row>
    <row r="22" spans="1:21" x14ac:dyDescent="0.3">
      <c r="A22">
        <v>1021</v>
      </c>
      <c r="B22" s="1">
        <v>46087</v>
      </c>
      <c r="C22" t="s">
        <v>21</v>
      </c>
      <c r="D22" t="s">
        <v>51</v>
      </c>
      <c r="E22" t="s">
        <v>23</v>
      </c>
      <c r="F22" t="s">
        <v>45</v>
      </c>
      <c r="G22" t="s">
        <v>93</v>
      </c>
      <c r="H22" t="s">
        <v>54</v>
      </c>
      <c r="I22" t="s">
        <v>61</v>
      </c>
      <c r="J22" t="s">
        <v>66</v>
      </c>
      <c r="K22" t="s">
        <v>29</v>
      </c>
      <c r="L22">
        <v>2</v>
      </c>
      <c r="M22">
        <v>6.03</v>
      </c>
      <c r="N22">
        <v>0</v>
      </c>
      <c r="O22">
        <v>12.06</v>
      </c>
      <c r="P22" t="s">
        <v>199</v>
      </c>
      <c r="Q22" t="s">
        <v>31</v>
      </c>
      <c r="R22" t="s">
        <v>34</v>
      </c>
      <c r="S22" t="s">
        <v>33</v>
      </c>
      <c r="T22">
        <v>3</v>
      </c>
      <c r="U22" t="s">
        <v>34</v>
      </c>
    </row>
    <row r="23" spans="1:21" x14ac:dyDescent="0.3">
      <c r="A23">
        <v>1022</v>
      </c>
      <c r="B23" s="1">
        <v>46056</v>
      </c>
      <c r="C23" t="s">
        <v>42</v>
      </c>
      <c r="D23" t="s">
        <v>22</v>
      </c>
      <c r="E23" t="s">
        <v>23</v>
      </c>
      <c r="F23" t="s">
        <v>83</v>
      </c>
      <c r="G23" t="s">
        <v>94</v>
      </c>
      <c r="H23" t="s">
        <v>54</v>
      </c>
      <c r="I23" t="s">
        <v>27</v>
      </c>
      <c r="J23" t="s">
        <v>39</v>
      </c>
      <c r="K23" t="s">
        <v>29</v>
      </c>
      <c r="L23">
        <v>3</v>
      </c>
      <c r="M23">
        <v>4.95</v>
      </c>
      <c r="N23">
        <v>0</v>
      </c>
      <c r="O23">
        <v>14.85</v>
      </c>
      <c r="P23" t="s">
        <v>71</v>
      </c>
      <c r="Q23" t="s">
        <v>63</v>
      </c>
      <c r="R23" t="s">
        <v>34</v>
      </c>
      <c r="S23" t="s">
        <v>49</v>
      </c>
      <c r="T23">
        <v>5</v>
      </c>
      <c r="U23" t="s">
        <v>34</v>
      </c>
    </row>
    <row r="24" spans="1:21" x14ac:dyDescent="0.3">
      <c r="A24">
        <v>1023</v>
      </c>
      <c r="B24" s="1">
        <v>46034</v>
      </c>
      <c r="C24" t="s">
        <v>50</v>
      </c>
      <c r="D24" t="s">
        <v>64</v>
      </c>
      <c r="E24" t="s">
        <v>23</v>
      </c>
      <c r="F24" t="s">
        <v>52</v>
      </c>
      <c r="G24" t="s">
        <v>95</v>
      </c>
      <c r="H24" t="s">
        <v>26</v>
      </c>
      <c r="I24" t="s">
        <v>47</v>
      </c>
      <c r="J24" t="s">
        <v>48</v>
      </c>
      <c r="K24" t="s">
        <v>200</v>
      </c>
      <c r="L24">
        <v>1</v>
      </c>
      <c r="M24">
        <v>17.7</v>
      </c>
      <c r="N24">
        <v>0</v>
      </c>
      <c r="O24">
        <v>17.7</v>
      </c>
      <c r="P24" t="s">
        <v>199</v>
      </c>
      <c r="Q24" t="s">
        <v>63</v>
      </c>
      <c r="R24" t="s">
        <v>34</v>
      </c>
      <c r="S24" t="s">
        <v>33</v>
      </c>
      <c r="T24">
        <v>5</v>
      </c>
      <c r="U24" t="s">
        <v>34</v>
      </c>
    </row>
    <row r="25" spans="1:21" x14ac:dyDescent="0.3">
      <c r="A25">
        <v>1024</v>
      </c>
      <c r="B25" s="1">
        <v>46032</v>
      </c>
      <c r="C25" t="s">
        <v>50</v>
      </c>
      <c r="D25" t="s">
        <v>77</v>
      </c>
      <c r="E25" t="s">
        <v>23</v>
      </c>
      <c r="F25" t="s">
        <v>52</v>
      </c>
      <c r="G25" t="s">
        <v>96</v>
      </c>
      <c r="H25" t="s">
        <v>26</v>
      </c>
      <c r="I25" t="s">
        <v>73</v>
      </c>
      <c r="J25" t="s">
        <v>74</v>
      </c>
      <c r="K25" t="s">
        <v>200</v>
      </c>
      <c r="L25">
        <v>3</v>
      </c>
      <c r="M25">
        <v>8.2200000000000006</v>
      </c>
      <c r="N25">
        <v>0</v>
      </c>
      <c r="O25">
        <v>24.66</v>
      </c>
      <c r="P25" t="s">
        <v>71</v>
      </c>
      <c r="Q25" t="s">
        <v>31</v>
      </c>
      <c r="R25" t="s">
        <v>34</v>
      </c>
      <c r="S25" t="s">
        <v>33</v>
      </c>
      <c r="T25">
        <v>3</v>
      </c>
      <c r="U25" t="s">
        <v>34</v>
      </c>
    </row>
    <row r="26" spans="1:21" x14ac:dyDescent="0.3">
      <c r="A26">
        <v>1025</v>
      </c>
      <c r="B26" s="1">
        <v>46108</v>
      </c>
      <c r="C26" t="s">
        <v>21</v>
      </c>
      <c r="D26" t="s">
        <v>22</v>
      </c>
      <c r="E26" t="s">
        <v>23</v>
      </c>
      <c r="F26" t="s">
        <v>52</v>
      </c>
      <c r="G26" t="s">
        <v>97</v>
      </c>
      <c r="H26" t="s">
        <v>26</v>
      </c>
      <c r="I26" t="s">
        <v>55</v>
      </c>
      <c r="J26" t="s">
        <v>98</v>
      </c>
      <c r="K26" t="s">
        <v>62</v>
      </c>
      <c r="L26">
        <v>2</v>
      </c>
      <c r="M26">
        <v>5.73</v>
      </c>
      <c r="N26">
        <v>0</v>
      </c>
      <c r="O26">
        <v>11.46</v>
      </c>
      <c r="P26" t="s">
        <v>30</v>
      </c>
      <c r="Q26" t="s">
        <v>31</v>
      </c>
      <c r="R26" t="s">
        <v>34</v>
      </c>
      <c r="S26" t="s">
        <v>49</v>
      </c>
      <c r="T26">
        <v>4</v>
      </c>
      <c r="U26" t="s">
        <v>34</v>
      </c>
    </row>
    <row r="27" spans="1:21" x14ac:dyDescent="0.3">
      <c r="A27">
        <v>1026</v>
      </c>
      <c r="B27" s="1">
        <v>46057</v>
      </c>
      <c r="C27" t="s">
        <v>42</v>
      </c>
      <c r="D27" t="s">
        <v>77</v>
      </c>
      <c r="E27" t="s">
        <v>23</v>
      </c>
      <c r="F27" t="s">
        <v>83</v>
      </c>
      <c r="G27" t="s">
        <v>99</v>
      </c>
      <c r="H27" t="s">
        <v>26</v>
      </c>
      <c r="I27" t="s">
        <v>47</v>
      </c>
      <c r="J27" t="s">
        <v>68</v>
      </c>
      <c r="K27" t="s">
        <v>200</v>
      </c>
      <c r="L27">
        <v>4</v>
      </c>
      <c r="M27">
        <v>18.48</v>
      </c>
      <c r="N27">
        <v>5</v>
      </c>
      <c r="O27">
        <v>70.22</v>
      </c>
      <c r="P27" t="s">
        <v>71</v>
      </c>
      <c r="Q27" t="s">
        <v>41</v>
      </c>
      <c r="R27" t="s">
        <v>32</v>
      </c>
      <c r="S27" t="s">
        <v>33</v>
      </c>
      <c r="T27">
        <v>4</v>
      </c>
      <c r="U27" t="s">
        <v>34</v>
      </c>
    </row>
    <row r="28" spans="1:21" x14ac:dyDescent="0.3">
      <c r="A28">
        <v>1027</v>
      </c>
      <c r="B28" s="1">
        <v>46107</v>
      </c>
      <c r="C28" t="s">
        <v>21</v>
      </c>
      <c r="D28" t="s">
        <v>77</v>
      </c>
      <c r="E28" t="s">
        <v>23</v>
      </c>
      <c r="F28" t="s">
        <v>59</v>
      </c>
      <c r="G28" t="s">
        <v>100</v>
      </c>
      <c r="H28" t="s">
        <v>54</v>
      </c>
      <c r="I28" t="s">
        <v>81</v>
      </c>
      <c r="J28" t="s">
        <v>101</v>
      </c>
      <c r="K28" t="s">
        <v>200</v>
      </c>
      <c r="L28">
        <v>3</v>
      </c>
      <c r="M28">
        <v>4.4800000000000004</v>
      </c>
      <c r="N28">
        <v>0</v>
      </c>
      <c r="O28">
        <v>13.44</v>
      </c>
      <c r="P28" t="s">
        <v>71</v>
      </c>
      <c r="Q28" t="s">
        <v>31</v>
      </c>
      <c r="R28" t="s">
        <v>32</v>
      </c>
      <c r="S28" t="s">
        <v>49</v>
      </c>
      <c r="T28">
        <v>5</v>
      </c>
      <c r="U28" t="s">
        <v>34</v>
      </c>
    </row>
    <row r="29" spans="1:21" x14ac:dyDescent="0.3">
      <c r="A29">
        <v>1028</v>
      </c>
      <c r="B29" s="1">
        <v>46097</v>
      </c>
      <c r="C29" t="s">
        <v>21</v>
      </c>
      <c r="D29" t="s">
        <v>51</v>
      </c>
      <c r="E29" t="s">
        <v>23</v>
      </c>
      <c r="F29" t="s">
        <v>24</v>
      </c>
      <c r="G29" t="s">
        <v>67</v>
      </c>
      <c r="H29" t="s">
        <v>54</v>
      </c>
      <c r="I29" t="s">
        <v>27</v>
      </c>
      <c r="J29" t="s">
        <v>79</v>
      </c>
      <c r="K29" t="s">
        <v>57</v>
      </c>
      <c r="L29">
        <v>4</v>
      </c>
      <c r="M29">
        <v>6.41</v>
      </c>
      <c r="N29">
        <v>0</v>
      </c>
      <c r="O29">
        <v>25.64</v>
      </c>
      <c r="P29" t="s">
        <v>58</v>
      </c>
      <c r="Q29" t="s">
        <v>41</v>
      </c>
      <c r="R29" t="s">
        <v>32</v>
      </c>
      <c r="S29" t="s">
        <v>49</v>
      </c>
      <c r="T29">
        <v>3</v>
      </c>
      <c r="U29" t="s">
        <v>34</v>
      </c>
    </row>
    <row r="30" spans="1:21" x14ac:dyDescent="0.3">
      <c r="A30">
        <v>1029</v>
      </c>
      <c r="B30" s="1">
        <v>46089</v>
      </c>
      <c r="C30" t="s">
        <v>21</v>
      </c>
      <c r="D30" t="s">
        <v>35</v>
      </c>
      <c r="E30" t="s">
        <v>23</v>
      </c>
      <c r="F30" t="s">
        <v>91</v>
      </c>
      <c r="G30" t="s">
        <v>80</v>
      </c>
      <c r="H30" t="s">
        <v>38</v>
      </c>
      <c r="I30" t="s">
        <v>89</v>
      </c>
      <c r="J30" t="s">
        <v>90</v>
      </c>
      <c r="K30" t="s">
        <v>200</v>
      </c>
      <c r="L30">
        <v>3</v>
      </c>
      <c r="M30">
        <v>5.09</v>
      </c>
      <c r="N30">
        <v>0</v>
      </c>
      <c r="O30">
        <v>15.27</v>
      </c>
      <c r="P30" t="s">
        <v>71</v>
      </c>
      <c r="Q30" t="s">
        <v>63</v>
      </c>
      <c r="R30" t="s">
        <v>34</v>
      </c>
      <c r="S30" t="s">
        <v>49</v>
      </c>
      <c r="T30">
        <v>3</v>
      </c>
      <c r="U30" t="s">
        <v>34</v>
      </c>
    </row>
    <row r="31" spans="1:21" x14ac:dyDescent="0.3">
      <c r="A31">
        <v>1030</v>
      </c>
      <c r="B31" s="1">
        <v>46074</v>
      </c>
      <c r="C31" t="s">
        <v>42</v>
      </c>
      <c r="D31" t="s">
        <v>51</v>
      </c>
      <c r="E31" t="s">
        <v>23</v>
      </c>
      <c r="F31" t="s">
        <v>45</v>
      </c>
      <c r="G31" t="s">
        <v>102</v>
      </c>
      <c r="H31" t="s">
        <v>54</v>
      </c>
      <c r="I31" t="s">
        <v>73</v>
      </c>
      <c r="J31" t="s">
        <v>74</v>
      </c>
      <c r="K31" t="s">
        <v>200</v>
      </c>
      <c r="L31">
        <v>2</v>
      </c>
      <c r="M31">
        <v>8.08</v>
      </c>
      <c r="N31">
        <v>5</v>
      </c>
      <c r="O31">
        <v>15.35</v>
      </c>
      <c r="P31" t="s">
        <v>30</v>
      </c>
      <c r="Q31" t="s">
        <v>41</v>
      </c>
      <c r="R31" t="s">
        <v>34</v>
      </c>
      <c r="S31" t="s">
        <v>33</v>
      </c>
      <c r="T31">
        <v>4</v>
      </c>
      <c r="U31" t="s">
        <v>32</v>
      </c>
    </row>
    <row r="32" spans="1:21" x14ac:dyDescent="0.3">
      <c r="A32">
        <v>1031</v>
      </c>
      <c r="B32" s="1">
        <v>46097</v>
      </c>
      <c r="C32" t="s">
        <v>21</v>
      </c>
      <c r="D32" t="s">
        <v>35</v>
      </c>
      <c r="E32" t="s">
        <v>23</v>
      </c>
      <c r="F32" t="s">
        <v>69</v>
      </c>
      <c r="G32" t="s">
        <v>103</v>
      </c>
      <c r="H32" t="s">
        <v>54</v>
      </c>
      <c r="I32" t="s">
        <v>89</v>
      </c>
      <c r="J32" t="s">
        <v>104</v>
      </c>
      <c r="K32" t="s">
        <v>200</v>
      </c>
      <c r="L32">
        <v>4</v>
      </c>
      <c r="M32">
        <v>5.0999999999999996</v>
      </c>
      <c r="N32">
        <v>0</v>
      </c>
      <c r="O32">
        <v>20.399999999999999</v>
      </c>
      <c r="P32" t="s">
        <v>58</v>
      </c>
      <c r="Q32" t="s">
        <v>63</v>
      </c>
      <c r="R32" t="s">
        <v>32</v>
      </c>
      <c r="S32" t="s">
        <v>49</v>
      </c>
      <c r="T32">
        <v>3</v>
      </c>
      <c r="U32" t="s">
        <v>34</v>
      </c>
    </row>
    <row r="33" spans="1:21" x14ac:dyDescent="0.3">
      <c r="A33">
        <v>1032</v>
      </c>
      <c r="B33" s="1">
        <v>46034</v>
      </c>
      <c r="C33" t="s">
        <v>50</v>
      </c>
      <c r="D33" t="s">
        <v>77</v>
      </c>
      <c r="E33" t="s">
        <v>23</v>
      </c>
      <c r="F33" t="s">
        <v>36</v>
      </c>
      <c r="G33" t="s">
        <v>105</v>
      </c>
      <c r="H33" t="s">
        <v>26</v>
      </c>
      <c r="I33" t="s">
        <v>89</v>
      </c>
      <c r="J33" t="s">
        <v>104</v>
      </c>
      <c r="K33" t="s">
        <v>200</v>
      </c>
      <c r="L33">
        <v>2</v>
      </c>
      <c r="M33">
        <v>5.43</v>
      </c>
      <c r="N33">
        <v>0</v>
      </c>
      <c r="O33">
        <v>10.86</v>
      </c>
      <c r="P33" t="s">
        <v>199</v>
      </c>
      <c r="Q33" t="s">
        <v>31</v>
      </c>
      <c r="R33" t="s">
        <v>34</v>
      </c>
      <c r="S33" t="s">
        <v>49</v>
      </c>
      <c r="T33">
        <v>3</v>
      </c>
      <c r="U33" t="s">
        <v>34</v>
      </c>
    </row>
    <row r="34" spans="1:21" x14ac:dyDescent="0.3">
      <c r="A34">
        <v>1033</v>
      </c>
      <c r="B34" s="1">
        <v>46112</v>
      </c>
      <c r="C34" t="s">
        <v>21</v>
      </c>
      <c r="D34" t="s">
        <v>106</v>
      </c>
      <c r="E34" t="s">
        <v>23</v>
      </c>
      <c r="F34" t="s">
        <v>59</v>
      </c>
      <c r="G34" t="s">
        <v>107</v>
      </c>
      <c r="H34" t="s">
        <v>38</v>
      </c>
      <c r="I34" t="s">
        <v>81</v>
      </c>
      <c r="J34" t="s">
        <v>101</v>
      </c>
      <c r="K34" t="s">
        <v>200</v>
      </c>
      <c r="L34">
        <v>2</v>
      </c>
      <c r="M34">
        <v>3.83</v>
      </c>
      <c r="N34">
        <v>0</v>
      </c>
      <c r="O34">
        <v>7.66</v>
      </c>
      <c r="P34" t="s">
        <v>199</v>
      </c>
      <c r="Q34" t="s">
        <v>41</v>
      </c>
      <c r="R34" t="s">
        <v>32</v>
      </c>
      <c r="S34" t="s">
        <v>33</v>
      </c>
      <c r="T34">
        <v>3</v>
      </c>
      <c r="U34" t="s">
        <v>34</v>
      </c>
    </row>
    <row r="35" spans="1:21" x14ac:dyDescent="0.3">
      <c r="A35">
        <v>1034</v>
      </c>
      <c r="B35" s="1">
        <v>46081</v>
      </c>
      <c r="C35" t="s">
        <v>42</v>
      </c>
      <c r="D35" t="s">
        <v>77</v>
      </c>
      <c r="E35" t="s">
        <v>23</v>
      </c>
      <c r="F35" t="s">
        <v>59</v>
      </c>
      <c r="G35" t="s">
        <v>108</v>
      </c>
      <c r="H35" t="s">
        <v>54</v>
      </c>
      <c r="I35" t="s">
        <v>47</v>
      </c>
      <c r="J35" t="s">
        <v>48</v>
      </c>
      <c r="K35" t="s">
        <v>200</v>
      </c>
      <c r="L35">
        <v>3</v>
      </c>
      <c r="M35">
        <v>18.559999999999999</v>
      </c>
      <c r="N35">
        <v>5</v>
      </c>
      <c r="O35">
        <v>52.9</v>
      </c>
      <c r="P35" t="s">
        <v>40</v>
      </c>
      <c r="Q35" t="s">
        <v>31</v>
      </c>
      <c r="R35" t="s">
        <v>34</v>
      </c>
      <c r="S35" t="s">
        <v>49</v>
      </c>
      <c r="T35">
        <v>3</v>
      </c>
      <c r="U35" t="s">
        <v>34</v>
      </c>
    </row>
    <row r="36" spans="1:21" x14ac:dyDescent="0.3">
      <c r="A36">
        <v>1035</v>
      </c>
      <c r="B36" s="1">
        <v>46054</v>
      </c>
      <c r="C36" t="s">
        <v>42</v>
      </c>
      <c r="D36" t="s">
        <v>51</v>
      </c>
      <c r="E36" t="s">
        <v>23</v>
      </c>
      <c r="F36" t="s">
        <v>83</v>
      </c>
      <c r="G36" t="s">
        <v>60</v>
      </c>
      <c r="H36" t="s">
        <v>26</v>
      </c>
      <c r="I36" t="s">
        <v>47</v>
      </c>
      <c r="J36" t="s">
        <v>48</v>
      </c>
      <c r="K36" t="s">
        <v>200</v>
      </c>
      <c r="L36">
        <v>2</v>
      </c>
      <c r="M36">
        <v>17.95</v>
      </c>
      <c r="N36">
        <v>0</v>
      </c>
      <c r="O36">
        <v>35.9</v>
      </c>
      <c r="P36" t="s">
        <v>71</v>
      </c>
      <c r="Q36" t="s">
        <v>63</v>
      </c>
      <c r="R36" t="s">
        <v>32</v>
      </c>
      <c r="S36" t="s">
        <v>33</v>
      </c>
      <c r="T36">
        <v>5</v>
      </c>
      <c r="U36" t="s">
        <v>34</v>
      </c>
    </row>
    <row r="37" spans="1:21" x14ac:dyDescent="0.3">
      <c r="A37">
        <v>1036</v>
      </c>
      <c r="B37" s="1">
        <v>46052</v>
      </c>
      <c r="C37" t="s">
        <v>50</v>
      </c>
      <c r="D37" t="s">
        <v>64</v>
      </c>
      <c r="E37" t="s">
        <v>23</v>
      </c>
      <c r="F37" t="s">
        <v>69</v>
      </c>
      <c r="G37" t="s">
        <v>109</v>
      </c>
      <c r="H37" t="s">
        <v>38</v>
      </c>
      <c r="I37" t="s">
        <v>89</v>
      </c>
      <c r="J37" t="s">
        <v>90</v>
      </c>
      <c r="K37" t="s">
        <v>200</v>
      </c>
      <c r="L37">
        <v>2</v>
      </c>
      <c r="M37">
        <v>4.76</v>
      </c>
      <c r="N37">
        <v>5</v>
      </c>
      <c r="O37">
        <v>9.0399999999999991</v>
      </c>
      <c r="P37" t="s">
        <v>58</v>
      </c>
      <c r="Q37" t="s">
        <v>41</v>
      </c>
      <c r="R37" t="s">
        <v>34</v>
      </c>
      <c r="S37" t="s">
        <v>33</v>
      </c>
      <c r="T37">
        <v>5</v>
      </c>
      <c r="U37" t="s">
        <v>32</v>
      </c>
    </row>
    <row r="38" spans="1:21" x14ac:dyDescent="0.3">
      <c r="A38">
        <v>1037</v>
      </c>
      <c r="B38" s="1">
        <v>46084</v>
      </c>
      <c r="C38" t="s">
        <v>21</v>
      </c>
      <c r="D38" t="s">
        <v>22</v>
      </c>
      <c r="E38" t="s">
        <v>23</v>
      </c>
      <c r="F38" t="s">
        <v>83</v>
      </c>
      <c r="G38" t="s">
        <v>110</v>
      </c>
      <c r="H38" t="s">
        <v>38</v>
      </c>
      <c r="I38" t="s">
        <v>55</v>
      </c>
      <c r="J38" t="s">
        <v>111</v>
      </c>
      <c r="K38" t="s">
        <v>62</v>
      </c>
      <c r="L38">
        <v>4</v>
      </c>
      <c r="M38">
        <v>5.38</v>
      </c>
      <c r="N38">
        <v>10</v>
      </c>
      <c r="O38">
        <v>19.37</v>
      </c>
      <c r="P38" t="s">
        <v>71</v>
      </c>
      <c r="Q38" t="s">
        <v>41</v>
      </c>
      <c r="R38" t="s">
        <v>34</v>
      </c>
      <c r="S38" t="s">
        <v>33</v>
      </c>
      <c r="T38">
        <v>3</v>
      </c>
      <c r="U38" t="s">
        <v>32</v>
      </c>
    </row>
    <row r="39" spans="1:21" x14ac:dyDescent="0.3">
      <c r="A39">
        <v>1038</v>
      </c>
      <c r="B39" s="1">
        <v>46066</v>
      </c>
      <c r="C39" t="s">
        <v>42</v>
      </c>
      <c r="D39" t="s">
        <v>64</v>
      </c>
      <c r="E39" t="s">
        <v>23</v>
      </c>
      <c r="F39" t="s">
        <v>36</v>
      </c>
      <c r="G39" t="s">
        <v>112</v>
      </c>
      <c r="H39" t="s">
        <v>26</v>
      </c>
      <c r="I39" t="s">
        <v>89</v>
      </c>
      <c r="J39" t="s">
        <v>90</v>
      </c>
      <c r="K39" t="s">
        <v>200</v>
      </c>
      <c r="L39">
        <v>4</v>
      </c>
      <c r="M39">
        <v>5.53</v>
      </c>
      <c r="N39">
        <v>10</v>
      </c>
      <c r="O39">
        <v>19.91</v>
      </c>
      <c r="P39" t="s">
        <v>199</v>
      </c>
      <c r="Q39" t="s">
        <v>63</v>
      </c>
      <c r="R39" t="s">
        <v>32</v>
      </c>
      <c r="S39" t="s">
        <v>33</v>
      </c>
      <c r="T39">
        <v>3</v>
      </c>
      <c r="U39" t="s">
        <v>32</v>
      </c>
    </row>
    <row r="40" spans="1:21" x14ac:dyDescent="0.3">
      <c r="A40">
        <v>1039</v>
      </c>
      <c r="B40" s="1">
        <v>46040</v>
      </c>
      <c r="C40" t="s">
        <v>50</v>
      </c>
      <c r="D40" t="s">
        <v>64</v>
      </c>
      <c r="E40" t="s">
        <v>23</v>
      </c>
      <c r="F40" t="s">
        <v>91</v>
      </c>
      <c r="G40" t="s">
        <v>37</v>
      </c>
      <c r="H40" t="s">
        <v>26</v>
      </c>
      <c r="I40" t="s">
        <v>61</v>
      </c>
      <c r="J40" t="s">
        <v>113</v>
      </c>
      <c r="K40" t="s">
        <v>62</v>
      </c>
      <c r="L40">
        <v>4</v>
      </c>
      <c r="M40">
        <v>6.69</v>
      </c>
      <c r="N40">
        <v>5</v>
      </c>
      <c r="O40">
        <v>25.42</v>
      </c>
      <c r="P40" t="s">
        <v>71</v>
      </c>
      <c r="Q40" t="s">
        <v>41</v>
      </c>
      <c r="R40" t="s">
        <v>34</v>
      </c>
      <c r="S40" t="s">
        <v>33</v>
      </c>
      <c r="T40">
        <v>5</v>
      </c>
      <c r="U40" t="s">
        <v>32</v>
      </c>
    </row>
    <row r="41" spans="1:21" x14ac:dyDescent="0.3">
      <c r="A41">
        <v>1040</v>
      </c>
      <c r="B41" s="1">
        <v>46025</v>
      </c>
      <c r="C41" t="s">
        <v>50</v>
      </c>
      <c r="D41" t="s">
        <v>35</v>
      </c>
      <c r="E41" t="s">
        <v>23</v>
      </c>
      <c r="F41" t="s">
        <v>83</v>
      </c>
      <c r="G41" t="s">
        <v>114</v>
      </c>
      <c r="H41" t="s">
        <v>38</v>
      </c>
      <c r="I41" t="s">
        <v>27</v>
      </c>
      <c r="J41" t="s">
        <v>28</v>
      </c>
      <c r="K41" t="s">
        <v>29</v>
      </c>
      <c r="L41">
        <v>1</v>
      </c>
      <c r="M41">
        <v>5.4</v>
      </c>
      <c r="N41">
        <v>0</v>
      </c>
      <c r="O41">
        <v>5.4</v>
      </c>
      <c r="P41" t="s">
        <v>199</v>
      </c>
      <c r="Q41" t="s">
        <v>31</v>
      </c>
      <c r="R41" t="s">
        <v>32</v>
      </c>
      <c r="S41" t="s">
        <v>33</v>
      </c>
      <c r="T41">
        <v>3</v>
      </c>
      <c r="U41" t="s">
        <v>32</v>
      </c>
    </row>
    <row r="42" spans="1:21" x14ac:dyDescent="0.3">
      <c r="A42">
        <v>1041</v>
      </c>
      <c r="B42" s="1">
        <v>46108</v>
      </c>
      <c r="C42" t="s">
        <v>21</v>
      </c>
      <c r="D42" t="s">
        <v>22</v>
      </c>
      <c r="E42" t="s">
        <v>23</v>
      </c>
      <c r="F42" t="s">
        <v>24</v>
      </c>
      <c r="G42" t="s">
        <v>115</v>
      </c>
      <c r="H42" t="s">
        <v>38</v>
      </c>
      <c r="I42" t="s">
        <v>73</v>
      </c>
      <c r="J42" t="s">
        <v>74</v>
      </c>
      <c r="K42" t="s">
        <v>200</v>
      </c>
      <c r="L42">
        <v>4</v>
      </c>
      <c r="M42">
        <v>8.33</v>
      </c>
      <c r="N42">
        <v>0</v>
      </c>
      <c r="O42">
        <v>33.32</v>
      </c>
      <c r="P42" t="s">
        <v>71</v>
      </c>
      <c r="Q42" t="s">
        <v>31</v>
      </c>
      <c r="R42" t="s">
        <v>32</v>
      </c>
      <c r="S42" t="s">
        <v>49</v>
      </c>
      <c r="T42">
        <v>4</v>
      </c>
      <c r="U42" t="s">
        <v>32</v>
      </c>
    </row>
    <row r="43" spans="1:21" x14ac:dyDescent="0.3">
      <c r="A43">
        <v>1042</v>
      </c>
      <c r="B43" s="1">
        <v>46073</v>
      </c>
      <c r="C43" t="s">
        <v>42</v>
      </c>
      <c r="D43" t="s">
        <v>77</v>
      </c>
      <c r="E43" t="s">
        <v>23</v>
      </c>
      <c r="F43" t="s">
        <v>24</v>
      </c>
      <c r="G43" t="s">
        <v>103</v>
      </c>
      <c r="H43" t="s">
        <v>54</v>
      </c>
      <c r="I43" t="s">
        <v>27</v>
      </c>
      <c r="J43" t="s">
        <v>39</v>
      </c>
      <c r="K43" t="s">
        <v>57</v>
      </c>
      <c r="L43">
        <v>2</v>
      </c>
      <c r="M43">
        <v>6.19</v>
      </c>
      <c r="N43">
        <v>0</v>
      </c>
      <c r="O43">
        <v>12.38</v>
      </c>
      <c r="P43" t="s">
        <v>30</v>
      </c>
      <c r="Q43" t="s">
        <v>41</v>
      </c>
      <c r="R43" t="s">
        <v>34</v>
      </c>
      <c r="S43" t="s">
        <v>49</v>
      </c>
      <c r="T43">
        <v>3</v>
      </c>
      <c r="U43" t="s">
        <v>34</v>
      </c>
    </row>
    <row r="44" spans="1:21" x14ac:dyDescent="0.3">
      <c r="A44">
        <v>1043</v>
      </c>
      <c r="B44" s="1">
        <v>46087</v>
      </c>
      <c r="C44" t="s">
        <v>21</v>
      </c>
      <c r="D44" t="s">
        <v>51</v>
      </c>
      <c r="E44" t="s">
        <v>23</v>
      </c>
      <c r="F44" t="s">
        <v>52</v>
      </c>
      <c r="G44" t="s">
        <v>116</v>
      </c>
      <c r="H44" t="s">
        <v>38</v>
      </c>
      <c r="I44" t="s">
        <v>27</v>
      </c>
      <c r="J44" t="s">
        <v>44</v>
      </c>
      <c r="K44" t="s">
        <v>62</v>
      </c>
      <c r="L44">
        <v>1</v>
      </c>
      <c r="M44">
        <v>5.79</v>
      </c>
      <c r="N44">
        <v>0</v>
      </c>
      <c r="O44">
        <v>5.79</v>
      </c>
      <c r="P44" t="s">
        <v>199</v>
      </c>
      <c r="Q44" t="s">
        <v>63</v>
      </c>
      <c r="R44" t="s">
        <v>34</v>
      </c>
      <c r="S44" t="s">
        <v>49</v>
      </c>
      <c r="T44">
        <v>3</v>
      </c>
      <c r="U44" t="s">
        <v>32</v>
      </c>
    </row>
    <row r="45" spans="1:21" x14ac:dyDescent="0.3">
      <c r="A45">
        <v>1044</v>
      </c>
      <c r="B45" s="1">
        <v>46078</v>
      </c>
      <c r="C45" t="s">
        <v>42</v>
      </c>
      <c r="D45" t="s">
        <v>35</v>
      </c>
      <c r="E45" t="s">
        <v>23</v>
      </c>
      <c r="F45" t="s">
        <v>69</v>
      </c>
      <c r="G45" t="s">
        <v>117</v>
      </c>
      <c r="H45" t="s">
        <v>54</v>
      </c>
      <c r="I45" t="s">
        <v>55</v>
      </c>
      <c r="J45" t="s">
        <v>111</v>
      </c>
      <c r="K45" t="s">
        <v>29</v>
      </c>
      <c r="L45">
        <v>1</v>
      </c>
      <c r="M45">
        <v>4.45</v>
      </c>
      <c r="N45">
        <v>5</v>
      </c>
      <c r="O45">
        <v>4.2300000000000004</v>
      </c>
      <c r="P45" t="s">
        <v>40</v>
      </c>
      <c r="Q45" t="s">
        <v>41</v>
      </c>
      <c r="R45" t="s">
        <v>32</v>
      </c>
      <c r="S45" t="s">
        <v>49</v>
      </c>
      <c r="T45">
        <v>4</v>
      </c>
      <c r="U45" t="s">
        <v>34</v>
      </c>
    </row>
    <row r="46" spans="1:21" x14ac:dyDescent="0.3">
      <c r="A46">
        <v>1045</v>
      </c>
      <c r="B46" s="1">
        <v>46046</v>
      </c>
      <c r="C46" t="s">
        <v>50</v>
      </c>
      <c r="D46" t="s">
        <v>64</v>
      </c>
      <c r="E46" t="s">
        <v>23</v>
      </c>
      <c r="F46" t="s">
        <v>36</v>
      </c>
      <c r="G46" t="s">
        <v>118</v>
      </c>
      <c r="H46" t="s">
        <v>38</v>
      </c>
      <c r="I46" t="s">
        <v>61</v>
      </c>
      <c r="J46" t="s">
        <v>66</v>
      </c>
      <c r="K46" t="s">
        <v>62</v>
      </c>
      <c r="L46">
        <v>3</v>
      </c>
      <c r="M46">
        <v>6.65</v>
      </c>
      <c r="N46">
        <v>10</v>
      </c>
      <c r="O46">
        <v>17.96</v>
      </c>
      <c r="P46" t="s">
        <v>30</v>
      </c>
      <c r="Q46" t="s">
        <v>31</v>
      </c>
      <c r="R46" t="s">
        <v>34</v>
      </c>
      <c r="S46" t="s">
        <v>49</v>
      </c>
      <c r="T46">
        <v>5</v>
      </c>
      <c r="U46" t="s">
        <v>34</v>
      </c>
    </row>
    <row r="47" spans="1:21" x14ac:dyDescent="0.3">
      <c r="A47">
        <v>1046</v>
      </c>
      <c r="B47" s="1">
        <v>46111</v>
      </c>
      <c r="C47" t="s">
        <v>21</v>
      </c>
      <c r="D47" t="s">
        <v>64</v>
      </c>
      <c r="E47" t="s">
        <v>23</v>
      </c>
      <c r="F47" t="s">
        <v>83</v>
      </c>
      <c r="G47" t="s">
        <v>102</v>
      </c>
      <c r="H47" t="s">
        <v>54</v>
      </c>
      <c r="I47" t="s">
        <v>89</v>
      </c>
      <c r="J47" t="s">
        <v>104</v>
      </c>
      <c r="K47" t="s">
        <v>200</v>
      </c>
      <c r="L47">
        <v>4</v>
      </c>
      <c r="M47">
        <v>5.41</v>
      </c>
      <c r="N47">
        <v>0</v>
      </c>
      <c r="O47">
        <v>21.64</v>
      </c>
      <c r="P47" t="s">
        <v>58</v>
      </c>
      <c r="Q47" t="s">
        <v>41</v>
      </c>
      <c r="R47" t="s">
        <v>34</v>
      </c>
      <c r="S47" t="s">
        <v>49</v>
      </c>
      <c r="T47">
        <v>5</v>
      </c>
      <c r="U47" t="s">
        <v>34</v>
      </c>
    </row>
    <row r="48" spans="1:21" x14ac:dyDescent="0.3">
      <c r="A48">
        <v>1047</v>
      </c>
      <c r="B48" s="1">
        <v>46077</v>
      </c>
      <c r="C48" t="s">
        <v>42</v>
      </c>
      <c r="D48" t="s">
        <v>35</v>
      </c>
      <c r="E48" t="s">
        <v>23</v>
      </c>
      <c r="F48" t="s">
        <v>24</v>
      </c>
      <c r="G48" t="s">
        <v>119</v>
      </c>
      <c r="H48" t="s">
        <v>38</v>
      </c>
      <c r="I48" t="s">
        <v>55</v>
      </c>
      <c r="J48" t="s">
        <v>111</v>
      </c>
      <c r="K48" t="s">
        <v>57</v>
      </c>
      <c r="L48">
        <v>4</v>
      </c>
      <c r="M48">
        <v>5.84</v>
      </c>
      <c r="N48">
        <v>0</v>
      </c>
      <c r="O48">
        <v>23.36</v>
      </c>
      <c r="P48" t="s">
        <v>71</v>
      </c>
      <c r="Q48" t="s">
        <v>31</v>
      </c>
      <c r="R48" t="s">
        <v>32</v>
      </c>
      <c r="S48" t="s">
        <v>33</v>
      </c>
      <c r="T48">
        <v>4</v>
      </c>
      <c r="U48" t="s">
        <v>34</v>
      </c>
    </row>
    <row r="49" spans="1:21" x14ac:dyDescent="0.3">
      <c r="A49">
        <v>1048</v>
      </c>
      <c r="B49" s="1">
        <v>46084</v>
      </c>
      <c r="C49" t="s">
        <v>21</v>
      </c>
      <c r="D49" t="s">
        <v>51</v>
      </c>
      <c r="E49" t="s">
        <v>23</v>
      </c>
      <c r="F49" t="s">
        <v>91</v>
      </c>
      <c r="G49" t="s">
        <v>120</v>
      </c>
      <c r="H49" t="s">
        <v>26</v>
      </c>
      <c r="I49" t="s">
        <v>89</v>
      </c>
      <c r="J49" t="s">
        <v>104</v>
      </c>
      <c r="K49" t="s">
        <v>200</v>
      </c>
      <c r="L49">
        <v>1</v>
      </c>
      <c r="M49">
        <v>5.45</v>
      </c>
      <c r="N49">
        <v>0</v>
      </c>
      <c r="O49">
        <v>5.45</v>
      </c>
      <c r="P49" t="s">
        <v>30</v>
      </c>
      <c r="Q49" t="s">
        <v>63</v>
      </c>
      <c r="R49" t="s">
        <v>32</v>
      </c>
      <c r="S49" t="s">
        <v>49</v>
      </c>
      <c r="T49">
        <v>4</v>
      </c>
      <c r="U49" t="s">
        <v>34</v>
      </c>
    </row>
    <row r="50" spans="1:21" x14ac:dyDescent="0.3">
      <c r="A50">
        <v>1049</v>
      </c>
      <c r="B50" s="1">
        <v>46029</v>
      </c>
      <c r="C50" t="s">
        <v>50</v>
      </c>
      <c r="D50" t="s">
        <v>35</v>
      </c>
      <c r="E50" t="s">
        <v>23</v>
      </c>
      <c r="F50" t="s">
        <v>45</v>
      </c>
      <c r="G50" t="s">
        <v>121</v>
      </c>
      <c r="H50" t="s">
        <v>26</v>
      </c>
      <c r="I50" t="s">
        <v>55</v>
      </c>
      <c r="J50" t="s">
        <v>98</v>
      </c>
      <c r="K50" t="s">
        <v>29</v>
      </c>
      <c r="L50">
        <v>4</v>
      </c>
      <c r="M50">
        <v>4.29</v>
      </c>
      <c r="N50">
        <v>0</v>
      </c>
      <c r="O50">
        <v>17.16</v>
      </c>
      <c r="P50" t="s">
        <v>40</v>
      </c>
      <c r="Q50" t="s">
        <v>41</v>
      </c>
      <c r="R50" t="s">
        <v>32</v>
      </c>
      <c r="S50" t="s">
        <v>33</v>
      </c>
      <c r="T50">
        <v>3</v>
      </c>
      <c r="U50" t="s">
        <v>34</v>
      </c>
    </row>
    <row r="51" spans="1:21" x14ac:dyDescent="0.3">
      <c r="A51">
        <v>1049</v>
      </c>
      <c r="B51" s="1">
        <v>46084</v>
      </c>
      <c r="C51" t="s">
        <v>21</v>
      </c>
      <c r="D51" t="s">
        <v>22</v>
      </c>
      <c r="E51" t="s">
        <v>23</v>
      </c>
      <c r="F51" t="s">
        <v>52</v>
      </c>
      <c r="G51" t="s">
        <v>122</v>
      </c>
      <c r="H51" t="s">
        <v>54</v>
      </c>
      <c r="I51" t="s">
        <v>47</v>
      </c>
      <c r="J51" t="s">
        <v>68</v>
      </c>
      <c r="K51" t="s">
        <v>200</v>
      </c>
      <c r="L51">
        <v>4</v>
      </c>
      <c r="M51">
        <v>18.14</v>
      </c>
      <c r="N51">
        <v>10</v>
      </c>
      <c r="O51">
        <v>65.3</v>
      </c>
      <c r="P51" t="s">
        <v>71</v>
      </c>
      <c r="Q51" t="s">
        <v>31</v>
      </c>
      <c r="R51" t="s">
        <v>32</v>
      </c>
      <c r="S51" t="s">
        <v>33</v>
      </c>
      <c r="T51">
        <v>3</v>
      </c>
      <c r="U51" t="s">
        <v>32</v>
      </c>
    </row>
    <row r="52" spans="1:21" x14ac:dyDescent="0.3">
      <c r="A52">
        <v>1051</v>
      </c>
      <c r="B52" s="1">
        <v>46100</v>
      </c>
      <c r="C52" t="s">
        <v>21</v>
      </c>
      <c r="D52" t="s">
        <v>35</v>
      </c>
      <c r="E52" t="s">
        <v>23</v>
      </c>
      <c r="F52" t="s">
        <v>59</v>
      </c>
      <c r="G52" t="s">
        <v>123</v>
      </c>
      <c r="H52" t="s">
        <v>54</v>
      </c>
      <c r="I52" t="s">
        <v>47</v>
      </c>
      <c r="J52" t="s">
        <v>68</v>
      </c>
      <c r="K52" t="s">
        <v>200</v>
      </c>
      <c r="L52">
        <v>4</v>
      </c>
      <c r="M52">
        <v>18.11</v>
      </c>
      <c r="N52">
        <v>5</v>
      </c>
      <c r="O52">
        <v>68.819999999999993</v>
      </c>
      <c r="P52" t="s">
        <v>199</v>
      </c>
      <c r="Q52" t="s">
        <v>31</v>
      </c>
      <c r="R52" t="s">
        <v>32</v>
      </c>
      <c r="S52" t="s">
        <v>33</v>
      </c>
      <c r="T52">
        <v>5</v>
      </c>
      <c r="U52" t="s">
        <v>34</v>
      </c>
    </row>
    <row r="53" spans="1:21" x14ac:dyDescent="0.3">
      <c r="A53">
        <v>1052</v>
      </c>
      <c r="B53" s="1">
        <v>46056</v>
      </c>
      <c r="C53" t="s">
        <v>42</v>
      </c>
      <c r="D53" t="s">
        <v>22</v>
      </c>
      <c r="E53" t="s">
        <v>23</v>
      </c>
      <c r="F53" t="s">
        <v>69</v>
      </c>
      <c r="G53" t="s">
        <v>124</v>
      </c>
      <c r="H53" t="s">
        <v>38</v>
      </c>
      <c r="I53" t="s">
        <v>61</v>
      </c>
      <c r="J53" t="s">
        <v>113</v>
      </c>
      <c r="K53" t="s">
        <v>29</v>
      </c>
      <c r="L53">
        <v>1</v>
      </c>
      <c r="M53">
        <v>5.84</v>
      </c>
      <c r="N53">
        <v>5</v>
      </c>
      <c r="O53">
        <v>5.55</v>
      </c>
      <c r="P53" t="s">
        <v>58</v>
      </c>
      <c r="Q53" t="s">
        <v>41</v>
      </c>
      <c r="R53" t="s">
        <v>34</v>
      </c>
      <c r="S53" t="s">
        <v>49</v>
      </c>
      <c r="T53">
        <v>3</v>
      </c>
      <c r="U53" t="s">
        <v>34</v>
      </c>
    </row>
    <row r="54" spans="1:21" x14ac:dyDescent="0.3">
      <c r="A54">
        <v>1053</v>
      </c>
      <c r="B54" s="1">
        <v>46110</v>
      </c>
      <c r="C54" t="s">
        <v>21</v>
      </c>
      <c r="D54" t="s">
        <v>77</v>
      </c>
      <c r="E54" t="s">
        <v>23</v>
      </c>
      <c r="F54" t="s">
        <v>52</v>
      </c>
      <c r="G54" t="s">
        <v>112</v>
      </c>
      <c r="H54" t="s">
        <v>26</v>
      </c>
      <c r="I54" t="s">
        <v>55</v>
      </c>
      <c r="J54" t="s">
        <v>98</v>
      </c>
      <c r="K54" t="s">
        <v>57</v>
      </c>
      <c r="L54">
        <v>2</v>
      </c>
      <c r="M54">
        <v>5.98</v>
      </c>
      <c r="N54">
        <v>10</v>
      </c>
      <c r="O54">
        <v>10.76</v>
      </c>
      <c r="P54" t="s">
        <v>58</v>
      </c>
      <c r="Q54" t="s">
        <v>31</v>
      </c>
      <c r="R54" t="s">
        <v>32</v>
      </c>
      <c r="S54" t="s">
        <v>33</v>
      </c>
      <c r="T54">
        <v>4</v>
      </c>
      <c r="U54" t="s">
        <v>34</v>
      </c>
    </row>
    <row r="55" spans="1:21" x14ac:dyDescent="0.3">
      <c r="A55">
        <v>1054</v>
      </c>
      <c r="B55" s="1">
        <v>46099</v>
      </c>
      <c r="C55" t="s">
        <v>21</v>
      </c>
      <c r="D55" t="s">
        <v>35</v>
      </c>
      <c r="E55" t="s">
        <v>23</v>
      </c>
      <c r="F55" t="s">
        <v>69</v>
      </c>
      <c r="G55" t="s">
        <v>125</v>
      </c>
      <c r="H55" t="s">
        <v>38</v>
      </c>
      <c r="I55" t="s">
        <v>55</v>
      </c>
      <c r="J55" t="s">
        <v>111</v>
      </c>
      <c r="K55" t="s">
        <v>29</v>
      </c>
      <c r="L55">
        <v>4</v>
      </c>
      <c r="M55">
        <v>4.82</v>
      </c>
      <c r="N55">
        <v>5</v>
      </c>
      <c r="O55">
        <v>18.32</v>
      </c>
      <c r="P55" t="s">
        <v>199</v>
      </c>
      <c r="Q55" t="s">
        <v>31</v>
      </c>
      <c r="R55" t="s">
        <v>34</v>
      </c>
      <c r="S55" t="s">
        <v>49</v>
      </c>
      <c r="T55">
        <v>5</v>
      </c>
      <c r="U55" t="s">
        <v>34</v>
      </c>
    </row>
    <row r="56" spans="1:21" x14ac:dyDescent="0.3">
      <c r="A56">
        <v>1055</v>
      </c>
      <c r="B56" s="1">
        <v>46026</v>
      </c>
      <c r="C56" t="s">
        <v>50</v>
      </c>
      <c r="D56" t="s">
        <v>22</v>
      </c>
      <c r="E56" t="s">
        <v>23</v>
      </c>
      <c r="F56" t="s">
        <v>36</v>
      </c>
      <c r="G56" t="s">
        <v>37</v>
      </c>
      <c r="H56" t="s">
        <v>38</v>
      </c>
      <c r="I56" t="s">
        <v>61</v>
      </c>
      <c r="J56" t="s">
        <v>201</v>
      </c>
      <c r="K56" t="s">
        <v>57</v>
      </c>
      <c r="L56">
        <v>1</v>
      </c>
      <c r="M56">
        <v>8</v>
      </c>
      <c r="N56">
        <v>0</v>
      </c>
      <c r="O56">
        <v>8</v>
      </c>
      <c r="P56" t="s">
        <v>40</v>
      </c>
      <c r="Q56" t="s">
        <v>63</v>
      </c>
      <c r="R56" t="s">
        <v>34</v>
      </c>
      <c r="S56" t="s">
        <v>49</v>
      </c>
      <c r="T56">
        <v>3</v>
      </c>
      <c r="U56" t="s">
        <v>34</v>
      </c>
    </row>
    <row r="57" spans="1:21" x14ac:dyDescent="0.3">
      <c r="A57">
        <v>1056</v>
      </c>
      <c r="B57" s="1">
        <v>46097</v>
      </c>
      <c r="C57" t="s">
        <v>21</v>
      </c>
      <c r="D57" t="s">
        <v>64</v>
      </c>
      <c r="E57" t="s">
        <v>23</v>
      </c>
      <c r="F57" t="s">
        <v>91</v>
      </c>
      <c r="G57" t="s">
        <v>126</v>
      </c>
      <c r="H57" t="s">
        <v>38</v>
      </c>
      <c r="I57" t="s">
        <v>89</v>
      </c>
      <c r="J57" t="s">
        <v>104</v>
      </c>
      <c r="K57" t="s">
        <v>200</v>
      </c>
      <c r="L57">
        <v>1</v>
      </c>
      <c r="M57">
        <v>5.12</v>
      </c>
      <c r="N57">
        <v>5</v>
      </c>
      <c r="O57">
        <v>4.8600000000000003</v>
      </c>
      <c r="P57" t="s">
        <v>58</v>
      </c>
      <c r="Q57" t="s">
        <v>41</v>
      </c>
      <c r="R57" t="s">
        <v>34</v>
      </c>
      <c r="S57" t="s">
        <v>49</v>
      </c>
      <c r="T57">
        <v>5</v>
      </c>
      <c r="U57" t="s">
        <v>34</v>
      </c>
    </row>
    <row r="58" spans="1:21" x14ac:dyDescent="0.3">
      <c r="A58">
        <v>1057</v>
      </c>
      <c r="B58" s="1">
        <v>46107</v>
      </c>
      <c r="C58" t="s">
        <v>21</v>
      </c>
      <c r="D58" t="s">
        <v>64</v>
      </c>
      <c r="E58" t="s">
        <v>23</v>
      </c>
      <c r="F58" t="s">
        <v>24</v>
      </c>
      <c r="G58" t="s">
        <v>127</v>
      </c>
      <c r="H58" t="s">
        <v>26</v>
      </c>
      <c r="I58" t="s">
        <v>47</v>
      </c>
      <c r="J58" t="s">
        <v>68</v>
      </c>
      <c r="K58" t="s">
        <v>200</v>
      </c>
      <c r="L58">
        <v>4</v>
      </c>
      <c r="M58">
        <v>17.78</v>
      </c>
      <c r="N58">
        <v>0</v>
      </c>
      <c r="O58">
        <v>71.12</v>
      </c>
      <c r="P58" t="s">
        <v>199</v>
      </c>
      <c r="Q58" t="s">
        <v>31</v>
      </c>
      <c r="R58" t="s">
        <v>34</v>
      </c>
      <c r="S58" t="s">
        <v>49</v>
      </c>
      <c r="T58">
        <v>5</v>
      </c>
      <c r="U58" t="s">
        <v>34</v>
      </c>
    </row>
    <row r="59" spans="1:21" x14ac:dyDescent="0.3">
      <c r="A59">
        <v>1058</v>
      </c>
      <c r="B59" s="1">
        <v>46047</v>
      </c>
      <c r="C59" t="s">
        <v>50</v>
      </c>
      <c r="D59" t="s">
        <v>35</v>
      </c>
      <c r="E59" t="s">
        <v>23</v>
      </c>
      <c r="F59" t="s">
        <v>52</v>
      </c>
      <c r="G59" t="s">
        <v>92</v>
      </c>
      <c r="H59" t="s">
        <v>26</v>
      </c>
      <c r="I59" t="s">
        <v>55</v>
      </c>
      <c r="J59" t="s">
        <v>98</v>
      </c>
      <c r="K59" t="s">
        <v>62</v>
      </c>
      <c r="L59">
        <v>4</v>
      </c>
      <c r="M59">
        <v>5.58</v>
      </c>
      <c r="N59">
        <v>0</v>
      </c>
      <c r="O59">
        <v>22.32</v>
      </c>
      <c r="P59" t="s">
        <v>40</v>
      </c>
      <c r="Q59" t="s">
        <v>63</v>
      </c>
      <c r="R59" t="s">
        <v>34</v>
      </c>
      <c r="S59" t="s">
        <v>33</v>
      </c>
      <c r="T59">
        <v>5</v>
      </c>
      <c r="U59" t="s">
        <v>34</v>
      </c>
    </row>
    <row r="60" spans="1:21" x14ac:dyDescent="0.3">
      <c r="A60">
        <v>1059</v>
      </c>
      <c r="B60" s="1">
        <v>46103</v>
      </c>
      <c r="C60" t="s">
        <v>21</v>
      </c>
      <c r="D60" t="s">
        <v>35</v>
      </c>
      <c r="E60" t="s">
        <v>23</v>
      </c>
      <c r="F60" t="s">
        <v>59</v>
      </c>
      <c r="G60" t="s">
        <v>128</v>
      </c>
      <c r="H60" t="s">
        <v>38</v>
      </c>
      <c r="I60" t="s">
        <v>47</v>
      </c>
      <c r="J60" t="s">
        <v>68</v>
      </c>
      <c r="K60" t="s">
        <v>200</v>
      </c>
      <c r="L60">
        <v>2</v>
      </c>
      <c r="M60">
        <v>17.98</v>
      </c>
      <c r="N60">
        <v>0</v>
      </c>
      <c r="O60">
        <v>35.96</v>
      </c>
      <c r="P60" t="s">
        <v>30</v>
      </c>
      <c r="Q60" t="s">
        <v>41</v>
      </c>
      <c r="R60" t="s">
        <v>32</v>
      </c>
      <c r="S60" t="s">
        <v>33</v>
      </c>
      <c r="T60">
        <v>3</v>
      </c>
      <c r="U60" t="s">
        <v>32</v>
      </c>
    </row>
    <row r="61" spans="1:21" x14ac:dyDescent="0.3">
      <c r="A61">
        <v>1060</v>
      </c>
      <c r="B61" s="1">
        <v>46060</v>
      </c>
      <c r="C61" t="s">
        <v>42</v>
      </c>
      <c r="D61" t="s">
        <v>35</v>
      </c>
      <c r="E61" t="s">
        <v>23</v>
      </c>
      <c r="F61" t="s">
        <v>69</v>
      </c>
      <c r="G61" t="s">
        <v>129</v>
      </c>
      <c r="H61" t="s">
        <v>38</v>
      </c>
      <c r="I61" t="s">
        <v>89</v>
      </c>
      <c r="J61" t="s">
        <v>104</v>
      </c>
      <c r="K61" t="s">
        <v>200</v>
      </c>
      <c r="L61">
        <v>4</v>
      </c>
      <c r="M61">
        <v>5.45</v>
      </c>
      <c r="N61">
        <v>5</v>
      </c>
      <c r="O61">
        <v>20.71</v>
      </c>
      <c r="P61" t="s">
        <v>40</v>
      </c>
      <c r="Q61" t="s">
        <v>31</v>
      </c>
      <c r="R61" t="s">
        <v>32</v>
      </c>
      <c r="S61" t="s">
        <v>33</v>
      </c>
      <c r="T61">
        <v>4</v>
      </c>
      <c r="U61" t="s">
        <v>34</v>
      </c>
    </row>
    <row r="62" spans="1:21" x14ac:dyDescent="0.3">
      <c r="A62">
        <v>1061</v>
      </c>
      <c r="B62" s="1">
        <v>46076</v>
      </c>
      <c r="C62" t="s">
        <v>42</v>
      </c>
      <c r="D62" t="s">
        <v>51</v>
      </c>
      <c r="E62" t="s">
        <v>23</v>
      </c>
      <c r="F62" t="s">
        <v>69</v>
      </c>
      <c r="G62" t="s">
        <v>130</v>
      </c>
      <c r="H62" t="s">
        <v>38</v>
      </c>
      <c r="I62" t="s">
        <v>47</v>
      </c>
      <c r="J62" t="s">
        <v>48</v>
      </c>
      <c r="K62" t="s">
        <v>200</v>
      </c>
      <c r="L62">
        <v>1</v>
      </c>
      <c r="M62">
        <v>17.95</v>
      </c>
      <c r="N62">
        <v>0</v>
      </c>
      <c r="O62">
        <v>17.95</v>
      </c>
      <c r="P62" t="s">
        <v>40</v>
      </c>
      <c r="Q62" t="s">
        <v>63</v>
      </c>
      <c r="R62" t="s">
        <v>34</v>
      </c>
      <c r="S62" t="s">
        <v>49</v>
      </c>
      <c r="T62">
        <v>3</v>
      </c>
      <c r="U62" t="s">
        <v>34</v>
      </c>
    </row>
    <row r="63" spans="1:21" x14ac:dyDescent="0.3">
      <c r="A63">
        <v>1062</v>
      </c>
      <c r="B63" s="1">
        <v>46093</v>
      </c>
      <c r="C63" t="s">
        <v>21</v>
      </c>
      <c r="D63" t="s">
        <v>35</v>
      </c>
      <c r="E63" t="s">
        <v>23</v>
      </c>
      <c r="F63" t="s">
        <v>59</v>
      </c>
      <c r="G63" t="s">
        <v>131</v>
      </c>
      <c r="H63" t="s">
        <v>26</v>
      </c>
      <c r="I63" t="s">
        <v>81</v>
      </c>
      <c r="J63" t="s">
        <v>101</v>
      </c>
      <c r="K63" t="s">
        <v>200</v>
      </c>
      <c r="L63">
        <v>3</v>
      </c>
      <c r="M63">
        <v>4.4800000000000004</v>
      </c>
      <c r="N63">
        <v>0</v>
      </c>
      <c r="O63">
        <v>13.44</v>
      </c>
      <c r="P63" t="s">
        <v>30</v>
      </c>
      <c r="Q63" t="s">
        <v>41</v>
      </c>
      <c r="R63" t="s">
        <v>34</v>
      </c>
      <c r="S63" t="s">
        <v>49</v>
      </c>
      <c r="T63">
        <v>3</v>
      </c>
      <c r="U63" t="s">
        <v>32</v>
      </c>
    </row>
    <row r="64" spans="1:21" x14ac:dyDescent="0.3">
      <c r="A64">
        <v>1063</v>
      </c>
      <c r="B64" s="1">
        <v>46107</v>
      </c>
      <c r="C64" t="s">
        <v>21</v>
      </c>
      <c r="D64" t="s">
        <v>77</v>
      </c>
      <c r="E64" t="s">
        <v>23</v>
      </c>
      <c r="F64" t="s">
        <v>24</v>
      </c>
      <c r="G64" t="s">
        <v>132</v>
      </c>
      <c r="H64" t="s">
        <v>26</v>
      </c>
      <c r="I64" t="s">
        <v>81</v>
      </c>
      <c r="J64" t="s">
        <v>82</v>
      </c>
      <c r="K64" t="s">
        <v>200</v>
      </c>
      <c r="L64">
        <v>2</v>
      </c>
      <c r="M64">
        <v>4.1500000000000004</v>
      </c>
      <c r="N64">
        <v>10</v>
      </c>
      <c r="O64">
        <v>7.47</v>
      </c>
      <c r="P64" t="s">
        <v>30</v>
      </c>
      <c r="Q64" t="s">
        <v>63</v>
      </c>
      <c r="R64" t="s">
        <v>34</v>
      </c>
      <c r="S64" t="s">
        <v>33</v>
      </c>
      <c r="T64">
        <v>5</v>
      </c>
      <c r="U64" t="s">
        <v>34</v>
      </c>
    </row>
    <row r="65" spans="1:21" x14ac:dyDescent="0.3">
      <c r="A65">
        <v>1064</v>
      </c>
      <c r="B65" s="1">
        <v>46075</v>
      </c>
      <c r="C65" t="s">
        <v>42</v>
      </c>
      <c r="D65" t="s">
        <v>77</v>
      </c>
      <c r="E65" t="s">
        <v>23</v>
      </c>
      <c r="F65" t="s">
        <v>91</v>
      </c>
      <c r="G65" t="s">
        <v>133</v>
      </c>
      <c r="H65" t="s">
        <v>54</v>
      </c>
      <c r="I65" t="s">
        <v>27</v>
      </c>
      <c r="J65" t="s">
        <v>44</v>
      </c>
      <c r="K65" t="s">
        <v>62</v>
      </c>
      <c r="L65">
        <v>3</v>
      </c>
      <c r="M65">
        <v>5.96</v>
      </c>
      <c r="N65">
        <v>5</v>
      </c>
      <c r="O65">
        <v>16.989999999999998</v>
      </c>
      <c r="P65" t="s">
        <v>199</v>
      </c>
      <c r="Q65" t="s">
        <v>41</v>
      </c>
      <c r="R65" t="s">
        <v>34</v>
      </c>
      <c r="S65" t="s">
        <v>49</v>
      </c>
      <c r="T65">
        <v>3</v>
      </c>
      <c r="U65" t="s">
        <v>34</v>
      </c>
    </row>
    <row r="66" spans="1:21" x14ac:dyDescent="0.3">
      <c r="A66">
        <v>1065</v>
      </c>
      <c r="B66" s="1">
        <v>46102</v>
      </c>
      <c r="C66" t="s">
        <v>21</v>
      </c>
      <c r="D66" t="s">
        <v>22</v>
      </c>
      <c r="E66" t="s">
        <v>23</v>
      </c>
      <c r="F66" t="s">
        <v>24</v>
      </c>
      <c r="G66" t="s">
        <v>37</v>
      </c>
      <c r="H66" t="s">
        <v>54</v>
      </c>
      <c r="I66" t="s">
        <v>61</v>
      </c>
      <c r="J66" t="s">
        <v>201</v>
      </c>
      <c r="K66" t="s">
        <v>57</v>
      </c>
      <c r="L66">
        <v>3</v>
      </c>
      <c r="M66">
        <v>8</v>
      </c>
      <c r="N66">
        <v>0</v>
      </c>
      <c r="O66">
        <v>24</v>
      </c>
      <c r="P66" t="s">
        <v>30</v>
      </c>
      <c r="Q66" t="s">
        <v>41</v>
      </c>
      <c r="R66" t="s">
        <v>32</v>
      </c>
      <c r="S66" t="s">
        <v>49</v>
      </c>
      <c r="T66">
        <v>3</v>
      </c>
      <c r="U66" t="s">
        <v>34</v>
      </c>
    </row>
    <row r="67" spans="1:21" x14ac:dyDescent="0.3">
      <c r="A67">
        <v>1066</v>
      </c>
      <c r="B67" s="1">
        <v>46028</v>
      </c>
      <c r="C67" t="s">
        <v>50</v>
      </c>
      <c r="D67" t="s">
        <v>51</v>
      </c>
      <c r="E67" t="s">
        <v>23</v>
      </c>
      <c r="F67" t="s">
        <v>83</v>
      </c>
      <c r="G67" t="s">
        <v>134</v>
      </c>
      <c r="H67" t="s">
        <v>26</v>
      </c>
      <c r="I67" t="s">
        <v>47</v>
      </c>
      <c r="J67" t="s">
        <v>68</v>
      </c>
      <c r="K67" t="s">
        <v>200</v>
      </c>
      <c r="L67">
        <v>3</v>
      </c>
      <c r="M67">
        <v>18.02</v>
      </c>
      <c r="N67">
        <v>5</v>
      </c>
      <c r="O67">
        <v>51.36</v>
      </c>
      <c r="P67" t="s">
        <v>199</v>
      </c>
      <c r="Q67" t="s">
        <v>63</v>
      </c>
      <c r="R67" t="s">
        <v>32</v>
      </c>
      <c r="S67" t="s">
        <v>33</v>
      </c>
      <c r="T67">
        <v>4</v>
      </c>
      <c r="U67" t="s">
        <v>34</v>
      </c>
    </row>
    <row r="68" spans="1:21" x14ac:dyDescent="0.3">
      <c r="A68">
        <v>1067</v>
      </c>
      <c r="B68" s="1">
        <v>46033</v>
      </c>
      <c r="C68" t="s">
        <v>50</v>
      </c>
      <c r="D68" t="s">
        <v>35</v>
      </c>
      <c r="E68" t="s">
        <v>23</v>
      </c>
      <c r="F68" t="s">
        <v>83</v>
      </c>
      <c r="G68" t="s">
        <v>135</v>
      </c>
      <c r="H68" t="s">
        <v>54</v>
      </c>
      <c r="I68" t="s">
        <v>47</v>
      </c>
      <c r="J68" t="s">
        <v>48</v>
      </c>
      <c r="K68" t="s">
        <v>200</v>
      </c>
      <c r="L68">
        <v>2</v>
      </c>
      <c r="M68">
        <v>18.149999999999999</v>
      </c>
      <c r="N68">
        <v>10</v>
      </c>
      <c r="O68">
        <v>32.67</v>
      </c>
      <c r="P68" t="s">
        <v>71</v>
      </c>
      <c r="Q68" t="s">
        <v>41</v>
      </c>
      <c r="R68" t="s">
        <v>34</v>
      </c>
      <c r="S68" t="s">
        <v>33</v>
      </c>
      <c r="T68">
        <v>4</v>
      </c>
      <c r="U68" t="s">
        <v>32</v>
      </c>
    </row>
    <row r="69" spans="1:21" x14ac:dyDescent="0.3">
      <c r="A69">
        <v>1068</v>
      </c>
      <c r="B69" s="1">
        <v>46059</v>
      </c>
      <c r="C69" t="s">
        <v>42</v>
      </c>
      <c r="D69" t="s">
        <v>35</v>
      </c>
      <c r="E69" t="s">
        <v>23</v>
      </c>
      <c r="F69" t="s">
        <v>45</v>
      </c>
      <c r="G69" t="s">
        <v>136</v>
      </c>
      <c r="H69" t="s">
        <v>26</v>
      </c>
      <c r="I69" t="s">
        <v>61</v>
      </c>
      <c r="J69" t="s">
        <v>113</v>
      </c>
      <c r="K69" t="s">
        <v>62</v>
      </c>
      <c r="L69">
        <v>3</v>
      </c>
      <c r="M69">
        <v>7.29</v>
      </c>
      <c r="N69">
        <v>0</v>
      </c>
      <c r="O69">
        <v>21.87</v>
      </c>
      <c r="P69" t="s">
        <v>58</v>
      </c>
      <c r="Q69" t="s">
        <v>41</v>
      </c>
      <c r="R69" t="s">
        <v>34</v>
      </c>
      <c r="S69" t="s">
        <v>33</v>
      </c>
      <c r="T69">
        <v>3</v>
      </c>
      <c r="U69" t="s">
        <v>34</v>
      </c>
    </row>
    <row r="70" spans="1:21" x14ac:dyDescent="0.3">
      <c r="A70">
        <v>1069</v>
      </c>
      <c r="B70" s="1">
        <v>46071</v>
      </c>
      <c r="C70" t="s">
        <v>42</v>
      </c>
      <c r="D70" t="s">
        <v>35</v>
      </c>
      <c r="E70" t="s">
        <v>23</v>
      </c>
      <c r="F70" t="s">
        <v>36</v>
      </c>
      <c r="G70" t="s">
        <v>117</v>
      </c>
      <c r="H70" t="s">
        <v>54</v>
      </c>
      <c r="I70" t="s">
        <v>55</v>
      </c>
      <c r="J70" t="s">
        <v>98</v>
      </c>
      <c r="K70" t="s">
        <v>62</v>
      </c>
      <c r="L70">
        <v>3</v>
      </c>
      <c r="M70">
        <v>4.92</v>
      </c>
      <c r="N70">
        <v>5</v>
      </c>
      <c r="O70">
        <v>14.02</v>
      </c>
      <c r="P70" t="s">
        <v>30</v>
      </c>
      <c r="Q70" t="s">
        <v>63</v>
      </c>
      <c r="R70" t="s">
        <v>34</v>
      </c>
      <c r="S70" t="s">
        <v>49</v>
      </c>
      <c r="T70">
        <v>5</v>
      </c>
      <c r="U70" t="s">
        <v>34</v>
      </c>
    </row>
    <row r="71" spans="1:21" x14ac:dyDescent="0.3">
      <c r="A71">
        <v>1070</v>
      </c>
      <c r="B71" s="1">
        <v>46100</v>
      </c>
      <c r="C71" t="s">
        <v>21</v>
      </c>
      <c r="D71" t="s">
        <v>51</v>
      </c>
      <c r="E71" t="s">
        <v>23</v>
      </c>
      <c r="F71" t="s">
        <v>36</v>
      </c>
      <c r="G71" t="s">
        <v>123</v>
      </c>
      <c r="H71" t="s">
        <v>26</v>
      </c>
      <c r="I71" t="s">
        <v>61</v>
      </c>
      <c r="J71" t="s">
        <v>201</v>
      </c>
      <c r="K71" t="s">
        <v>29</v>
      </c>
      <c r="L71">
        <v>3</v>
      </c>
      <c r="M71">
        <v>6.31</v>
      </c>
      <c r="N71">
        <v>0</v>
      </c>
      <c r="O71">
        <v>18.93</v>
      </c>
      <c r="P71" t="s">
        <v>30</v>
      </c>
      <c r="Q71" t="s">
        <v>63</v>
      </c>
      <c r="R71" t="s">
        <v>34</v>
      </c>
      <c r="S71" t="s">
        <v>33</v>
      </c>
      <c r="T71">
        <v>3</v>
      </c>
      <c r="U71" t="s">
        <v>34</v>
      </c>
    </row>
    <row r="72" spans="1:21" x14ac:dyDescent="0.3">
      <c r="A72">
        <v>1071</v>
      </c>
      <c r="B72" s="1">
        <v>46060</v>
      </c>
      <c r="C72" t="s">
        <v>42</v>
      </c>
      <c r="D72" t="s">
        <v>51</v>
      </c>
      <c r="E72" t="s">
        <v>23</v>
      </c>
      <c r="F72" t="s">
        <v>45</v>
      </c>
      <c r="G72" t="s">
        <v>108</v>
      </c>
      <c r="H72" t="s">
        <v>38</v>
      </c>
      <c r="I72" t="s">
        <v>89</v>
      </c>
      <c r="J72" t="s">
        <v>104</v>
      </c>
      <c r="K72" t="s">
        <v>200</v>
      </c>
      <c r="L72">
        <v>2</v>
      </c>
      <c r="M72">
        <v>4.88</v>
      </c>
      <c r="N72">
        <v>10</v>
      </c>
      <c r="O72">
        <v>8.7799999999999994</v>
      </c>
      <c r="P72" t="s">
        <v>71</v>
      </c>
      <c r="Q72" t="s">
        <v>41</v>
      </c>
      <c r="R72" t="s">
        <v>34</v>
      </c>
      <c r="S72" t="s">
        <v>49</v>
      </c>
      <c r="T72">
        <v>5</v>
      </c>
      <c r="U72" t="s">
        <v>34</v>
      </c>
    </row>
    <row r="73" spans="1:21" x14ac:dyDescent="0.3">
      <c r="A73">
        <v>1072</v>
      </c>
      <c r="B73" s="1">
        <v>46082</v>
      </c>
      <c r="C73" t="s">
        <v>21</v>
      </c>
      <c r="D73" t="s">
        <v>22</v>
      </c>
      <c r="E73" t="s">
        <v>23</v>
      </c>
      <c r="F73" t="s">
        <v>24</v>
      </c>
      <c r="G73" t="s">
        <v>103</v>
      </c>
      <c r="H73" t="s">
        <v>26</v>
      </c>
      <c r="I73" t="s">
        <v>61</v>
      </c>
      <c r="J73" t="s">
        <v>113</v>
      </c>
      <c r="K73" t="s">
        <v>57</v>
      </c>
      <c r="L73">
        <v>4</v>
      </c>
      <c r="M73">
        <v>7.97</v>
      </c>
      <c r="N73">
        <v>10</v>
      </c>
      <c r="O73">
        <v>28.69</v>
      </c>
      <c r="P73" t="s">
        <v>30</v>
      </c>
      <c r="Q73" t="s">
        <v>41</v>
      </c>
      <c r="R73" t="s">
        <v>32</v>
      </c>
      <c r="S73" t="s">
        <v>49</v>
      </c>
      <c r="T73">
        <v>5</v>
      </c>
      <c r="U73" t="s">
        <v>34</v>
      </c>
    </row>
    <row r="74" spans="1:21" x14ac:dyDescent="0.3">
      <c r="A74">
        <v>1073</v>
      </c>
      <c r="B74" s="1">
        <v>46109</v>
      </c>
      <c r="C74" t="s">
        <v>21</v>
      </c>
      <c r="D74" t="s">
        <v>51</v>
      </c>
      <c r="E74" t="s">
        <v>23</v>
      </c>
      <c r="F74" t="s">
        <v>36</v>
      </c>
      <c r="G74" t="s">
        <v>88</v>
      </c>
      <c r="H74" t="s">
        <v>54</v>
      </c>
      <c r="I74" t="s">
        <v>73</v>
      </c>
      <c r="J74" t="s">
        <v>137</v>
      </c>
      <c r="K74" t="s">
        <v>200</v>
      </c>
      <c r="L74">
        <v>3</v>
      </c>
      <c r="M74">
        <v>7.8</v>
      </c>
      <c r="N74">
        <v>0</v>
      </c>
      <c r="O74">
        <v>23.4</v>
      </c>
      <c r="P74" t="s">
        <v>71</v>
      </c>
      <c r="Q74" t="s">
        <v>63</v>
      </c>
      <c r="R74" t="s">
        <v>32</v>
      </c>
      <c r="S74" t="s">
        <v>33</v>
      </c>
      <c r="T74">
        <v>3</v>
      </c>
      <c r="U74" t="s">
        <v>32</v>
      </c>
    </row>
    <row r="75" spans="1:21" x14ac:dyDescent="0.3">
      <c r="A75">
        <v>1074</v>
      </c>
      <c r="B75" s="1">
        <v>46112</v>
      </c>
      <c r="C75" t="s">
        <v>21</v>
      </c>
      <c r="D75" t="s">
        <v>51</v>
      </c>
      <c r="E75" t="s">
        <v>23</v>
      </c>
      <c r="F75" t="s">
        <v>69</v>
      </c>
      <c r="G75" t="s">
        <v>138</v>
      </c>
      <c r="H75" t="s">
        <v>38</v>
      </c>
      <c r="I75" t="s">
        <v>89</v>
      </c>
      <c r="J75" t="s">
        <v>104</v>
      </c>
      <c r="K75" t="s">
        <v>200</v>
      </c>
      <c r="L75">
        <v>1</v>
      </c>
      <c r="M75">
        <v>4.83</v>
      </c>
      <c r="N75">
        <v>0</v>
      </c>
      <c r="O75">
        <v>4.83</v>
      </c>
      <c r="P75" t="s">
        <v>58</v>
      </c>
      <c r="Q75" t="s">
        <v>63</v>
      </c>
      <c r="R75" t="s">
        <v>32</v>
      </c>
      <c r="S75" t="s">
        <v>49</v>
      </c>
      <c r="T75">
        <v>5</v>
      </c>
      <c r="U75" t="s">
        <v>32</v>
      </c>
    </row>
    <row r="76" spans="1:21" x14ac:dyDescent="0.3">
      <c r="A76">
        <v>1075</v>
      </c>
      <c r="B76" s="1">
        <v>46070</v>
      </c>
      <c r="C76" t="s">
        <v>42</v>
      </c>
      <c r="D76" t="s">
        <v>35</v>
      </c>
      <c r="E76" t="s">
        <v>23</v>
      </c>
      <c r="F76" t="s">
        <v>59</v>
      </c>
      <c r="G76" t="s">
        <v>139</v>
      </c>
      <c r="H76" t="s">
        <v>26</v>
      </c>
      <c r="I76" t="s">
        <v>81</v>
      </c>
      <c r="J76" t="s">
        <v>140</v>
      </c>
      <c r="K76" t="s">
        <v>200</v>
      </c>
      <c r="L76">
        <v>2</v>
      </c>
      <c r="M76">
        <v>4.5</v>
      </c>
      <c r="N76">
        <v>0</v>
      </c>
      <c r="O76">
        <v>9</v>
      </c>
      <c r="P76" t="s">
        <v>30</v>
      </c>
      <c r="Q76" t="s">
        <v>63</v>
      </c>
      <c r="R76" t="s">
        <v>34</v>
      </c>
      <c r="S76" t="s">
        <v>33</v>
      </c>
      <c r="T76">
        <v>3</v>
      </c>
      <c r="U76" t="s">
        <v>32</v>
      </c>
    </row>
    <row r="77" spans="1:21" x14ac:dyDescent="0.3">
      <c r="A77">
        <v>1076</v>
      </c>
      <c r="B77" s="1">
        <v>46079</v>
      </c>
      <c r="C77" t="s">
        <v>42</v>
      </c>
      <c r="D77" t="s">
        <v>77</v>
      </c>
      <c r="E77" t="s">
        <v>23</v>
      </c>
      <c r="F77" t="s">
        <v>91</v>
      </c>
      <c r="G77" t="s">
        <v>141</v>
      </c>
      <c r="H77" t="s">
        <v>26</v>
      </c>
      <c r="I77" t="s">
        <v>47</v>
      </c>
      <c r="J77" t="s">
        <v>48</v>
      </c>
      <c r="K77" t="s">
        <v>200</v>
      </c>
      <c r="L77">
        <v>1</v>
      </c>
      <c r="M77">
        <v>18.579999999999998</v>
      </c>
      <c r="N77">
        <v>0</v>
      </c>
      <c r="O77">
        <v>18.579999999999998</v>
      </c>
      <c r="P77" t="s">
        <v>71</v>
      </c>
      <c r="Q77" t="s">
        <v>31</v>
      </c>
      <c r="R77" t="s">
        <v>32</v>
      </c>
      <c r="S77" t="s">
        <v>49</v>
      </c>
      <c r="T77">
        <v>3</v>
      </c>
      <c r="U77" t="s">
        <v>34</v>
      </c>
    </row>
    <row r="78" spans="1:21" x14ac:dyDescent="0.3">
      <c r="A78">
        <v>1077</v>
      </c>
      <c r="B78" s="1">
        <v>46107</v>
      </c>
      <c r="C78" t="s">
        <v>21</v>
      </c>
      <c r="D78" t="s">
        <v>77</v>
      </c>
      <c r="E78" t="s">
        <v>23</v>
      </c>
      <c r="F78" t="s">
        <v>83</v>
      </c>
      <c r="G78" t="s">
        <v>142</v>
      </c>
      <c r="H78" t="s">
        <v>54</v>
      </c>
      <c r="I78" t="s">
        <v>89</v>
      </c>
      <c r="J78" t="s">
        <v>90</v>
      </c>
      <c r="K78" t="s">
        <v>200</v>
      </c>
      <c r="L78">
        <v>1</v>
      </c>
      <c r="M78">
        <v>5.41</v>
      </c>
      <c r="N78">
        <v>0</v>
      </c>
      <c r="O78">
        <v>5.41</v>
      </c>
      <c r="P78" t="s">
        <v>58</v>
      </c>
      <c r="Q78" t="s">
        <v>63</v>
      </c>
      <c r="R78" t="s">
        <v>32</v>
      </c>
      <c r="S78" t="s">
        <v>33</v>
      </c>
      <c r="T78">
        <v>4</v>
      </c>
      <c r="U78" t="s">
        <v>34</v>
      </c>
    </row>
    <row r="79" spans="1:21" x14ac:dyDescent="0.3">
      <c r="A79">
        <v>1078</v>
      </c>
      <c r="B79" s="1">
        <v>46041</v>
      </c>
      <c r="C79" t="s">
        <v>50</v>
      </c>
      <c r="D79" t="s">
        <v>35</v>
      </c>
      <c r="E79" t="s">
        <v>23</v>
      </c>
      <c r="F79" t="s">
        <v>36</v>
      </c>
      <c r="G79" t="s">
        <v>75</v>
      </c>
      <c r="H79" t="s">
        <v>38</v>
      </c>
      <c r="I79" t="s">
        <v>27</v>
      </c>
      <c r="J79" t="s">
        <v>28</v>
      </c>
      <c r="K79" t="s">
        <v>29</v>
      </c>
      <c r="L79">
        <v>2</v>
      </c>
      <c r="M79">
        <v>5.19</v>
      </c>
      <c r="N79">
        <v>0</v>
      </c>
      <c r="O79">
        <v>10.38</v>
      </c>
      <c r="P79" t="s">
        <v>71</v>
      </c>
      <c r="Q79" t="s">
        <v>31</v>
      </c>
      <c r="R79" t="s">
        <v>34</v>
      </c>
      <c r="S79" t="s">
        <v>33</v>
      </c>
      <c r="T79">
        <v>3</v>
      </c>
      <c r="U79" t="s">
        <v>34</v>
      </c>
    </row>
    <row r="80" spans="1:21" x14ac:dyDescent="0.3">
      <c r="A80">
        <v>1079</v>
      </c>
      <c r="B80" s="1">
        <v>46056</v>
      </c>
      <c r="C80" t="s">
        <v>42</v>
      </c>
      <c r="D80" t="s">
        <v>22</v>
      </c>
      <c r="E80" t="s">
        <v>23</v>
      </c>
      <c r="F80" t="s">
        <v>91</v>
      </c>
      <c r="G80" t="s">
        <v>78</v>
      </c>
      <c r="H80" t="s">
        <v>54</v>
      </c>
      <c r="I80" t="s">
        <v>61</v>
      </c>
      <c r="J80" t="s">
        <v>201</v>
      </c>
      <c r="K80" t="s">
        <v>62</v>
      </c>
      <c r="L80">
        <v>1</v>
      </c>
      <c r="M80">
        <v>7.07</v>
      </c>
      <c r="N80">
        <v>5</v>
      </c>
      <c r="O80">
        <v>6.72</v>
      </c>
      <c r="P80" t="s">
        <v>30</v>
      </c>
      <c r="Q80" t="s">
        <v>41</v>
      </c>
      <c r="R80" t="s">
        <v>32</v>
      </c>
      <c r="S80" t="s">
        <v>33</v>
      </c>
      <c r="T80">
        <v>3</v>
      </c>
      <c r="U80" t="s">
        <v>34</v>
      </c>
    </row>
    <row r="81" spans="1:21" x14ac:dyDescent="0.3">
      <c r="A81">
        <v>1080</v>
      </c>
      <c r="B81" s="1">
        <v>46081</v>
      </c>
      <c r="C81" t="s">
        <v>42</v>
      </c>
      <c r="D81" t="s">
        <v>22</v>
      </c>
      <c r="E81" t="s">
        <v>23</v>
      </c>
      <c r="F81" t="s">
        <v>24</v>
      </c>
      <c r="G81" t="s">
        <v>143</v>
      </c>
      <c r="H81" t="s">
        <v>38</v>
      </c>
      <c r="I81" t="s">
        <v>27</v>
      </c>
      <c r="J81" t="s">
        <v>44</v>
      </c>
      <c r="K81" t="s">
        <v>62</v>
      </c>
      <c r="L81">
        <v>4</v>
      </c>
      <c r="M81">
        <v>6.02</v>
      </c>
      <c r="N81">
        <v>5</v>
      </c>
      <c r="O81">
        <v>22.88</v>
      </c>
      <c r="P81" t="s">
        <v>71</v>
      </c>
      <c r="Q81" t="s">
        <v>63</v>
      </c>
      <c r="R81" t="s">
        <v>32</v>
      </c>
      <c r="S81" t="s">
        <v>33</v>
      </c>
      <c r="T81">
        <v>3</v>
      </c>
      <c r="U81" t="s">
        <v>34</v>
      </c>
    </row>
    <row r="82" spans="1:21" x14ac:dyDescent="0.3">
      <c r="A82">
        <v>1081</v>
      </c>
      <c r="B82" s="1">
        <v>46058</v>
      </c>
      <c r="C82" t="s">
        <v>42</v>
      </c>
      <c r="D82" t="s">
        <v>35</v>
      </c>
      <c r="E82" t="s">
        <v>23</v>
      </c>
      <c r="F82" t="s">
        <v>69</v>
      </c>
      <c r="G82" t="s">
        <v>87</v>
      </c>
      <c r="H82" t="s">
        <v>54</v>
      </c>
      <c r="I82" t="s">
        <v>89</v>
      </c>
      <c r="J82" t="s">
        <v>104</v>
      </c>
      <c r="K82" t="s">
        <v>200</v>
      </c>
      <c r="L82">
        <v>4</v>
      </c>
      <c r="M82">
        <v>5.6</v>
      </c>
      <c r="N82">
        <v>10</v>
      </c>
      <c r="O82">
        <v>20.16</v>
      </c>
      <c r="P82" t="s">
        <v>40</v>
      </c>
      <c r="Q82" t="s">
        <v>31</v>
      </c>
      <c r="R82" t="s">
        <v>32</v>
      </c>
      <c r="S82" t="s">
        <v>33</v>
      </c>
      <c r="T82">
        <v>5</v>
      </c>
      <c r="U82" t="s">
        <v>32</v>
      </c>
    </row>
    <row r="83" spans="1:21" x14ac:dyDescent="0.3">
      <c r="A83">
        <v>1082</v>
      </c>
      <c r="B83" s="1">
        <v>46080</v>
      </c>
      <c r="C83" t="s">
        <v>42</v>
      </c>
      <c r="D83" t="s">
        <v>77</v>
      </c>
      <c r="E83" t="s">
        <v>23</v>
      </c>
      <c r="F83" t="s">
        <v>59</v>
      </c>
      <c r="G83" t="s">
        <v>144</v>
      </c>
      <c r="H83" t="s">
        <v>54</v>
      </c>
      <c r="I83" t="s">
        <v>81</v>
      </c>
      <c r="J83" t="s">
        <v>101</v>
      </c>
      <c r="K83" t="s">
        <v>200</v>
      </c>
      <c r="L83">
        <v>4</v>
      </c>
      <c r="M83">
        <v>4.0599999999999996</v>
      </c>
      <c r="N83">
        <v>0</v>
      </c>
      <c r="O83">
        <v>16.239999999999998</v>
      </c>
      <c r="P83" t="s">
        <v>71</v>
      </c>
      <c r="Q83" t="s">
        <v>41</v>
      </c>
      <c r="R83" t="s">
        <v>32</v>
      </c>
      <c r="S83" t="s">
        <v>49</v>
      </c>
      <c r="T83">
        <v>5</v>
      </c>
      <c r="U83" t="s">
        <v>34</v>
      </c>
    </row>
    <row r="84" spans="1:21" x14ac:dyDescent="0.3">
      <c r="A84">
        <v>1083</v>
      </c>
      <c r="B84" s="1">
        <v>46034</v>
      </c>
      <c r="C84" t="s">
        <v>50</v>
      </c>
      <c r="D84" t="s">
        <v>22</v>
      </c>
      <c r="E84" t="s">
        <v>23</v>
      </c>
      <c r="F84" t="s">
        <v>91</v>
      </c>
      <c r="G84" t="s">
        <v>126</v>
      </c>
      <c r="H84" t="s">
        <v>38</v>
      </c>
      <c r="I84" t="s">
        <v>27</v>
      </c>
      <c r="J84" t="s">
        <v>44</v>
      </c>
      <c r="K84" t="s">
        <v>29</v>
      </c>
      <c r="L84">
        <v>3</v>
      </c>
      <c r="M84">
        <v>5.43</v>
      </c>
      <c r="N84">
        <v>10</v>
      </c>
      <c r="O84">
        <v>14.66</v>
      </c>
      <c r="P84" t="s">
        <v>40</v>
      </c>
      <c r="Q84" t="s">
        <v>41</v>
      </c>
      <c r="R84" t="s">
        <v>34</v>
      </c>
      <c r="S84" t="s">
        <v>33</v>
      </c>
      <c r="T84">
        <v>3</v>
      </c>
      <c r="U84" t="s">
        <v>34</v>
      </c>
    </row>
    <row r="85" spans="1:21" x14ac:dyDescent="0.3">
      <c r="A85">
        <v>1084</v>
      </c>
      <c r="B85" s="1">
        <v>46099</v>
      </c>
      <c r="C85" t="s">
        <v>21</v>
      </c>
      <c r="D85" t="s">
        <v>51</v>
      </c>
      <c r="E85" t="s">
        <v>23</v>
      </c>
      <c r="F85" t="s">
        <v>24</v>
      </c>
      <c r="G85" t="s">
        <v>145</v>
      </c>
      <c r="H85" t="s">
        <v>54</v>
      </c>
      <c r="I85" t="s">
        <v>55</v>
      </c>
      <c r="J85" t="s">
        <v>56</v>
      </c>
      <c r="K85" t="s">
        <v>57</v>
      </c>
      <c r="L85">
        <v>2</v>
      </c>
      <c r="M85">
        <v>5.74</v>
      </c>
      <c r="N85">
        <v>5</v>
      </c>
      <c r="O85">
        <v>10.91</v>
      </c>
      <c r="P85" t="s">
        <v>71</v>
      </c>
      <c r="Q85" t="s">
        <v>31</v>
      </c>
      <c r="R85" t="s">
        <v>34</v>
      </c>
      <c r="S85" t="s">
        <v>33</v>
      </c>
      <c r="T85">
        <v>4</v>
      </c>
      <c r="U85" t="s">
        <v>32</v>
      </c>
    </row>
    <row r="86" spans="1:21" x14ac:dyDescent="0.3">
      <c r="A86">
        <v>1085</v>
      </c>
      <c r="B86" s="1">
        <v>46094</v>
      </c>
      <c r="C86" t="s">
        <v>21</v>
      </c>
      <c r="D86" t="s">
        <v>35</v>
      </c>
      <c r="E86" t="s">
        <v>23</v>
      </c>
      <c r="F86" t="s">
        <v>52</v>
      </c>
      <c r="G86" t="s">
        <v>60</v>
      </c>
      <c r="H86" t="s">
        <v>54</v>
      </c>
      <c r="I86" t="s">
        <v>73</v>
      </c>
      <c r="J86" t="s">
        <v>146</v>
      </c>
      <c r="K86" t="s">
        <v>200</v>
      </c>
      <c r="L86">
        <v>1</v>
      </c>
      <c r="M86">
        <v>8.25</v>
      </c>
      <c r="N86">
        <v>0</v>
      </c>
      <c r="O86">
        <v>8.25</v>
      </c>
      <c r="P86" t="s">
        <v>71</v>
      </c>
      <c r="Q86" t="s">
        <v>41</v>
      </c>
      <c r="R86" t="s">
        <v>34</v>
      </c>
      <c r="S86" t="s">
        <v>33</v>
      </c>
      <c r="T86">
        <v>3</v>
      </c>
      <c r="U86" t="s">
        <v>34</v>
      </c>
    </row>
    <row r="87" spans="1:21" x14ac:dyDescent="0.3">
      <c r="A87">
        <v>1086</v>
      </c>
      <c r="B87" s="1">
        <v>46041</v>
      </c>
      <c r="C87" t="s">
        <v>50</v>
      </c>
      <c r="D87" t="s">
        <v>35</v>
      </c>
      <c r="E87" t="s">
        <v>23</v>
      </c>
      <c r="F87" t="s">
        <v>83</v>
      </c>
      <c r="G87" t="s">
        <v>147</v>
      </c>
      <c r="H87" t="s">
        <v>26</v>
      </c>
      <c r="I87" t="s">
        <v>89</v>
      </c>
      <c r="J87" t="s">
        <v>104</v>
      </c>
      <c r="K87" t="s">
        <v>200</v>
      </c>
      <c r="L87">
        <v>1</v>
      </c>
      <c r="M87">
        <v>4.83</v>
      </c>
      <c r="N87">
        <v>0</v>
      </c>
      <c r="O87">
        <v>4.83</v>
      </c>
      <c r="P87" t="s">
        <v>40</v>
      </c>
      <c r="Q87" t="s">
        <v>41</v>
      </c>
      <c r="R87" t="s">
        <v>32</v>
      </c>
      <c r="S87" t="s">
        <v>49</v>
      </c>
      <c r="T87">
        <v>3</v>
      </c>
      <c r="U87" t="s">
        <v>34</v>
      </c>
    </row>
    <row r="88" spans="1:21" x14ac:dyDescent="0.3">
      <c r="A88">
        <v>1087</v>
      </c>
      <c r="B88" s="1">
        <v>46064</v>
      </c>
      <c r="C88" t="s">
        <v>42</v>
      </c>
      <c r="D88" t="s">
        <v>35</v>
      </c>
      <c r="E88" t="s">
        <v>23</v>
      </c>
      <c r="F88" t="s">
        <v>24</v>
      </c>
      <c r="G88" t="s">
        <v>60</v>
      </c>
      <c r="H88" t="s">
        <v>26</v>
      </c>
      <c r="I88" t="s">
        <v>73</v>
      </c>
      <c r="J88" t="s">
        <v>74</v>
      </c>
      <c r="K88" t="s">
        <v>200</v>
      </c>
      <c r="L88">
        <v>1</v>
      </c>
      <c r="M88">
        <v>7.84</v>
      </c>
      <c r="N88">
        <v>10</v>
      </c>
      <c r="O88">
        <v>7.06</v>
      </c>
      <c r="P88" t="s">
        <v>40</v>
      </c>
      <c r="Q88" t="s">
        <v>41</v>
      </c>
      <c r="R88" t="s">
        <v>34</v>
      </c>
      <c r="S88" t="s">
        <v>49</v>
      </c>
      <c r="T88">
        <v>3</v>
      </c>
      <c r="U88" t="s">
        <v>34</v>
      </c>
    </row>
    <row r="89" spans="1:21" x14ac:dyDescent="0.3">
      <c r="A89">
        <v>1088</v>
      </c>
      <c r="B89" s="1">
        <v>46050</v>
      </c>
      <c r="C89" t="s">
        <v>50</v>
      </c>
      <c r="D89" t="s">
        <v>35</v>
      </c>
      <c r="E89" t="s">
        <v>23</v>
      </c>
      <c r="F89" t="s">
        <v>45</v>
      </c>
      <c r="G89" t="s">
        <v>96</v>
      </c>
      <c r="H89" t="s">
        <v>38</v>
      </c>
      <c r="I89" t="s">
        <v>27</v>
      </c>
      <c r="J89" t="s">
        <v>28</v>
      </c>
      <c r="K89" t="s">
        <v>62</v>
      </c>
      <c r="L89">
        <v>1</v>
      </c>
      <c r="M89">
        <v>5.65</v>
      </c>
      <c r="N89">
        <v>10</v>
      </c>
      <c r="O89">
        <v>5.09</v>
      </c>
      <c r="P89" t="s">
        <v>40</v>
      </c>
      <c r="Q89" t="s">
        <v>63</v>
      </c>
      <c r="R89" t="s">
        <v>32</v>
      </c>
      <c r="S89" t="s">
        <v>33</v>
      </c>
      <c r="T89">
        <v>3</v>
      </c>
      <c r="U89" t="s">
        <v>34</v>
      </c>
    </row>
    <row r="90" spans="1:21" x14ac:dyDescent="0.3">
      <c r="A90">
        <v>1089</v>
      </c>
      <c r="B90" s="1">
        <v>46061</v>
      </c>
      <c r="C90" t="s">
        <v>42</v>
      </c>
      <c r="D90" t="s">
        <v>77</v>
      </c>
      <c r="E90" t="s">
        <v>23</v>
      </c>
      <c r="F90" t="s">
        <v>69</v>
      </c>
      <c r="G90" t="s">
        <v>148</v>
      </c>
      <c r="H90" t="s">
        <v>26</v>
      </c>
      <c r="I90" t="s">
        <v>47</v>
      </c>
      <c r="J90" t="s">
        <v>68</v>
      </c>
      <c r="K90" t="s">
        <v>200</v>
      </c>
      <c r="L90">
        <v>3</v>
      </c>
      <c r="M90">
        <v>17.96</v>
      </c>
      <c r="N90">
        <v>0</v>
      </c>
      <c r="O90">
        <v>53.88</v>
      </c>
      <c r="P90" t="s">
        <v>58</v>
      </c>
      <c r="Q90" t="s">
        <v>31</v>
      </c>
      <c r="R90" t="s">
        <v>34</v>
      </c>
      <c r="S90" t="s">
        <v>33</v>
      </c>
      <c r="T90">
        <v>3</v>
      </c>
      <c r="U90" t="s">
        <v>34</v>
      </c>
    </row>
    <row r="91" spans="1:21" x14ac:dyDescent="0.3">
      <c r="A91">
        <v>1090</v>
      </c>
      <c r="B91" s="1">
        <v>46032</v>
      </c>
      <c r="C91" t="s">
        <v>50</v>
      </c>
      <c r="D91" t="s">
        <v>64</v>
      </c>
      <c r="E91" t="s">
        <v>23</v>
      </c>
      <c r="F91" t="s">
        <v>59</v>
      </c>
      <c r="G91" t="s">
        <v>149</v>
      </c>
      <c r="H91" t="s">
        <v>26</v>
      </c>
      <c r="I91" t="s">
        <v>47</v>
      </c>
      <c r="J91" t="s">
        <v>68</v>
      </c>
      <c r="K91" t="s">
        <v>200</v>
      </c>
      <c r="L91">
        <v>4</v>
      </c>
      <c r="M91">
        <v>17.72</v>
      </c>
      <c r="N91">
        <v>0</v>
      </c>
      <c r="O91">
        <v>70.88</v>
      </c>
      <c r="P91" t="s">
        <v>40</v>
      </c>
      <c r="Q91" t="s">
        <v>41</v>
      </c>
      <c r="R91" t="s">
        <v>32</v>
      </c>
      <c r="S91" t="s">
        <v>49</v>
      </c>
      <c r="T91">
        <v>5</v>
      </c>
      <c r="U91" t="s">
        <v>34</v>
      </c>
    </row>
    <row r="92" spans="1:21" x14ac:dyDescent="0.3">
      <c r="A92">
        <v>1091</v>
      </c>
      <c r="B92" s="1">
        <v>46064</v>
      </c>
      <c r="C92" t="s">
        <v>42</v>
      </c>
      <c r="D92" t="s">
        <v>77</v>
      </c>
      <c r="E92" t="s">
        <v>23</v>
      </c>
      <c r="F92" t="s">
        <v>59</v>
      </c>
      <c r="G92" t="s">
        <v>25</v>
      </c>
      <c r="H92" t="s">
        <v>26</v>
      </c>
      <c r="I92" t="s">
        <v>47</v>
      </c>
      <c r="J92" t="s">
        <v>48</v>
      </c>
      <c r="K92" t="s">
        <v>200</v>
      </c>
      <c r="L92">
        <v>3</v>
      </c>
      <c r="M92">
        <v>17.78</v>
      </c>
      <c r="N92">
        <v>0</v>
      </c>
      <c r="O92">
        <v>53.34</v>
      </c>
      <c r="P92" t="s">
        <v>199</v>
      </c>
      <c r="Q92" t="s">
        <v>31</v>
      </c>
      <c r="R92" t="s">
        <v>34</v>
      </c>
      <c r="S92" t="s">
        <v>49</v>
      </c>
      <c r="T92">
        <v>4</v>
      </c>
      <c r="U92" t="s">
        <v>34</v>
      </c>
    </row>
    <row r="93" spans="1:21" x14ac:dyDescent="0.3">
      <c r="A93">
        <v>1092</v>
      </c>
      <c r="B93" s="1">
        <v>46051</v>
      </c>
      <c r="C93" t="s">
        <v>50</v>
      </c>
      <c r="D93" t="s">
        <v>51</v>
      </c>
      <c r="E93" t="s">
        <v>23</v>
      </c>
      <c r="F93" t="s">
        <v>83</v>
      </c>
      <c r="G93" t="s">
        <v>143</v>
      </c>
      <c r="H93" t="s">
        <v>26</v>
      </c>
      <c r="I93" t="s">
        <v>47</v>
      </c>
      <c r="J93" t="s">
        <v>68</v>
      </c>
      <c r="K93" t="s">
        <v>200</v>
      </c>
      <c r="L93">
        <v>1</v>
      </c>
      <c r="M93">
        <v>18.16</v>
      </c>
      <c r="N93">
        <v>0</v>
      </c>
      <c r="O93">
        <v>18.16</v>
      </c>
      <c r="P93" t="s">
        <v>71</v>
      </c>
      <c r="Q93" t="s">
        <v>63</v>
      </c>
      <c r="R93" t="s">
        <v>32</v>
      </c>
      <c r="S93" t="s">
        <v>33</v>
      </c>
      <c r="T93">
        <v>3</v>
      </c>
      <c r="U93" t="s">
        <v>34</v>
      </c>
    </row>
    <row r="94" spans="1:21" x14ac:dyDescent="0.3">
      <c r="A94">
        <v>1093</v>
      </c>
      <c r="B94" s="1">
        <v>46041</v>
      </c>
      <c r="C94" t="s">
        <v>50</v>
      </c>
      <c r="D94" t="s">
        <v>51</v>
      </c>
      <c r="E94" t="s">
        <v>23</v>
      </c>
      <c r="F94" t="s">
        <v>69</v>
      </c>
      <c r="G94" t="s">
        <v>135</v>
      </c>
      <c r="H94" t="s">
        <v>54</v>
      </c>
      <c r="I94" t="s">
        <v>61</v>
      </c>
      <c r="J94" t="s">
        <v>113</v>
      </c>
      <c r="K94" t="s">
        <v>57</v>
      </c>
      <c r="L94">
        <v>2</v>
      </c>
      <c r="M94">
        <v>7.78</v>
      </c>
      <c r="N94">
        <v>0</v>
      </c>
      <c r="O94">
        <v>15.56</v>
      </c>
      <c r="P94" t="s">
        <v>199</v>
      </c>
      <c r="Q94" t="s">
        <v>41</v>
      </c>
      <c r="R94" t="s">
        <v>34</v>
      </c>
      <c r="S94" t="s">
        <v>49</v>
      </c>
      <c r="T94">
        <v>4</v>
      </c>
      <c r="U94" t="s">
        <v>34</v>
      </c>
    </row>
    <row r="95" spans="1:21" x14ac:dyDescent="0.3">
      <c r="A95">
        <v>1094</v>
      </c>
      <c r="B95" s="1">
        <v>46079</v>
      </c>
      <c r="C95" t="s">
        <v>42</v>
      </c>
      <c r="D95" t="s">
        <v>22</v>
      </c>
      <c r="E95" t="s">
        <v>23</v>
      </c>
      <c r="F95" t="s">
        <v>91</v>
      </c>
      <c r="G95" t="s">
        <v>87</v>
      </c>
      <c r="H95" t="s">
        <v>38</v>
      </c>
      <c r="I95" t="s">
        <v>81</v>
      </c>
      <c r="J95" t="s">
        <v>101</v>
      </c>
      <c r="K95" t="s">
        <v>200</v>
      </c>
      <c r="L95">
        <v>3</v>
      </c>
      <c r="M95">
        <v>4.42</v>
      </c>
      <c r="N95">
        <v>10</v>
      </c>
      <c r="O95">
        <v>11.93</v>
      </c>
      <c r="P95" t="s">
        <v>71</v>
      </c>
      <c r="Q95" t="s">
        <v>41</v>
      </c>
      <c r="R95" t="s">
        <v>34</v>
      </c>
      <c r="S95" t="s">
        <v>33</v>
      </c>
      <c r="T95">
        <v>3</v>
      </c>
      <c r="U95" t="s">
        <v>34</v>
      </c>
    </row>
    <row r="96" spans="1:21" x14ac:dyDescent="0.3">
      <c r="A96">
        <v>1095</v>
      </c>
      <c r="B96" s="1">
        <v>46070</v>
      </c>
      <c r="C96" t="s">
        <v>42</v>
      </c>
      <c r="D96" t="s">
        <v>51</v>
      </c>
      <c r="E96" t="s">
        <v>23</v>
      </c>
      <c r="F96" t="s">
        <v>69</v>
      </c>
      <c r="G96" t="s">
        <v>112</v>
      </c>
      <c r="H96" t="s">
        <v>54</v>
      </c>
      <c r="I96" t="s">
        <v>27</v>
      </c>
      <c r="J96" t="s">
        <v>79</v>
      </c>
      <c r="K96" t="s">
        <v>57</v>
      </c>
      <c r="L96">
        <v>4</v>
      </c>
      <c r="M96">
        <v>6.52</v>
      </c>
      <c r="N96">
        <v>10</v>
      </c>
      <c r="O96">
        <v>23.47</v>
      </c>
      <c r="P96" t="s">
        <v>58</v>
      </c>
      <c r="Q96" t="s">
        <v>41</v>
      </c>
      <c r="R96" t="s">
        <v>34</v>
      </c>
      <c r="S96" t="s">
        <v>33</v>
      </c>
      <c r="T96">
        <v>3</v>
      </c>
      <c r="U96" t="s">
        <v>34</v>
      </c>
    </row>
    <row r="97" spans="1:21" x14ac:dyDescent="0.3">
      <c r="A97">
        <v>1096</v>
      </c>
      <c r="B97" s="1">
        <v>46080</v>
      </c>
      <c r="C97" t="s">
        <v>42</v>
      </c>
      <c r="D97" t="s">
        <v>22</v>
      </c>
      <c r="E97" t="s">
        <v>23</v>
      </c>
      <c r="F97" t="s">
        <v>83</v>
      </c>
      <c r="G97" t="s">
        <v>150</v>
      </c>
      <c r="H97" t="s">
        <v>26</v>
      </c>
      <c r="I97" t="s">
        <v>47</v>
      </c>
      <c r="J97" t="s">
        <v>48</v>
      </c>
      <c r="K97" t="s">
        <v>200</v>
      </c>
      <c r="L97">
        <v>1</v>
      </c>
      <c r="M97">
        <v>18.149999999999999</v>
      </c>
      <c r="N97">
        <v>0</v>
      </c>
      <c r="O97">
        <v>18.149999999999999</v>
      </c>
      <c r="P97" t="s">
        <v>40</v>
      </c>
      <c r="Q97" t="s">
        <v>63</v>
      </c>
      <c r="R97" t="s">
        <v>32</v>
      </c>
      <c r="S97" t="s">
        <v>49</v>
      </c>
      <c r="T97">
        <v>3</v>
      </c>
      <c r="U97" t="s">
        <v>34</v>
      </c>
    </row>
    <row r="98" spans="1:21" x14ac:dyDescent="0.3">
      <c r="A98">
        <v>1097</v>
      </c>
      <c r="B98" s="1">
        <v>46059</v>
      </c>
      <c r="C98" t="s">
        <v>42</v>
      </c>
      <c r="D98" t="s">
        <v>64</v>
      </c>
      <c r="E98" t="s">
        <v>23</v>
      </c>
      <c r="F98" t="s">
        <v>91</v>
      </c>
      <c r="G98" t="s">
        <v>151</v>
      </c>
      <c r="H98" t="s">
        <v>54</v>
      </c>
      <c r="I98" t="s">
        <v>81</v>
      </c>
      <c r="J98" t="s">
        <v>101</v>
      </c>
      <c r="K98" t="s">
        <v>200</v>
      </c>
      <c r="L98">
        <v>1</v>
      </c>
      <c r="M98">
        <v>4.41</v>
      </c>
      <c r="N98">
        <v>0</v>
      </c>
      <c r="O98">
        <v>4.41</v>
      </c>
      <c r="P98" t="s">
        <v>40</v>
      </c>
      <c r="Q98" t="s">
        <v>41</v>
      </c>
      <c r="R98" t="s">
        <v>34</v>
      </c>
      <c r="S98" t="s">
        <v>33</v>
      </c>
      <c r="T98">
        <v>3</v>
      </c>
      <c r="U98" t="s">
        <v>34</v>
      </c>
    </row>
    <row r="99" spans="1:21" x14ac:dyDescent="0.3">
      <c r="A99">
        <v>1098</v>
      </c>
      <c r="B99" s="1">
        <v>46033</v>
      </c>
      <c r="C99" t="s">
        <v>50</v>
      </c>
      <c r="D99" t="s">
        <v>35</v>
      </c>
      <c r="E99" t="s">
        <v>23</v>
      </c>
      <c r="F99" t="s">
        <v>24</v>
      </c>
      <c r="G99" t="s">
        <v>123</v>
      </c>
      <c r="H99" t="s">
        <v>54</v>
      </c>
      <c r="I99" t="s">
        <v>89</v>
      </c>
      <c r="J99" t="s">
        <v>90</v>
      </c>
      <c r="K99" t="s">
        <v>200</v>
      </c>
      <c r="L99">
        <v>3</v>
      </c>
      <c r="M99">
        <v>4.9800000000000004</v>
      </c>
      <c r="N99">
        <v>5</v>
      </c>
      <c r="O99">
        <v>14.19</v>
      </c>
      <c r="P99" t="s">
        <v>40</v>
      </c>
      <c r="Q99" t="s">
        <v>63</v>
      </c>
      <c r="R99" t="s">
        <v>34</v>
      </c>
      <c r="S99" t="s">
        <v>33</v>
      </c>
      <c r="T99">
        <v>4</v>
      </c>
      <c r="U99" t="s">
        <v>34</v>
      </c>
    </row>
    <row r="100" spans="1:21" x14ac:dyDescent="0.3">
      <c r="A100">
        <v>1099</v>
      </c>
      <c r="B100" s="1">
        <v>46105</v>
      </c>
      <c r="C100" t="s">
        <v>21</v>
      </c>
      <c r="D100" t="s">
        <v>64</v>
      </c>
      <c r="E100" t="s">
        <v>23</v>
      </c>
      <c r="F100" t="s">
        <v>91</v>
      </c>
      <c r="G100" t="s">
        <v>127</v>
      </c>
      <c r="H100" t="s">
        <v>26</v>
      </c>
      <c r="I100" t="s">
        <v>73</v>
      </c>
      <c r="J100" t="s">
        <v>137</v>
      </c>
      <c r="K100" t="s">
        <v>200</v>
      </c>
      <c r="L100">
        <v>1</v>
      </c>
      <c r="M100">
        <v>8.0299999999999994</v>
      </c>
      <c r="N100">
        <v>0</v>
      </c>
      <c r="O100">
        <v>8.0299999999999994</v>
      </c>
      <c r="P100" t="s">
        <v>58</v>
      </c>
      <c r="Q100" t="s">
        <v>31</v>
      </c>
      <c r="R100" t="s">
        <v>32</v>
      </c>
      <c r="S100" t="s">
        <v>33</v>
      </c>
      <c r="T100">
        <v>4</v>
      </c>
      <c r="U100" t="s">
        <v>34</v>
      </c>
    </row>
    <row r="101" spans="1:21" x14ac:dyDescent="0.3">
      <c r="A101">
        <v>1100</v>
      </c>
      <c r="B101" s="1">
        <v>46060</v>
      </c>
      <c r="C101" t="s">
        <v>42</v>
      </c>
      <c r="D101" t="s">
        <v>22</v>
      </c>
      <c r="E101" t="s">
        <v>23</v>
      </c>
      <c r="F101" t="s">
        <v>59</v>
      </c>
      <c r="G101" t="s">
        <v>122</v>
      </c>
      <c r="H101" t="s">
        <v>38</v>
      </c>
      <c r="I101" t="s">
        <v>73</v>
      </c>
      <c r="J101" t="s">
        <v>146</v>
      </c>
      <c r="K101" t="s">
        <v>200</v>
      </c>
      <c r="L101">
        <v>1</v>
      </c>
      <c r="M101">
        <v>8.3000000000000007</v>
      </c>
      <c r="N101">
        <v>10</v>
      </c>
      <c r="O101">
        <v>7.47</v>
      </c>
      <c r="P101" t="s">
        <v>58</v>
      </c>
      <c r="Q101" t="s">
        <v>63</v>
      </c>
      <c r="R101" t="s">
        <v>32</v>
      </c>
      <c r="S101" t="s">
        <v>49</v>
      </c>
      <c r="T101">
        <v>4</v>
      </c>
      <c r="U101" t="s">
        <v>34</v>
      </c>
    </row>
    <row r="102" spans="1:21" x14ac:dyDescent="0.3">
      <c r="A102">
        <v>1101</v>
      </c>
      <c r="B102" s="1">
        <v>46075</v>
      </c>
      <c r="C102" t="s">
        <v>42</v>
      </c>
      <c r="D102" t="s">
        <v>51</v>
      </c>
      <c r="E102" t="s">
        <v>23</v>
      </c>
      <c r="F102" t="s">
        <v>83</v>
      </c>
      <c r="G102" t="s">
        <v>123</v>
      </c>
      <c r="H102" t="s">
        <v>26</v>
      </c>
      <c r="I102" t="s">
        <v>89</v>
      </c>
      <c r="J102" t="s">
        <v>90</v>
      </c>
      <c r="K102" t="s">
        <v>200</v>
      </c>
      <c r="L102">
        <v>4</v>
      </c>
      <c r="M102">
        <v>5.25</v>
      </c>
      <c r="N102">
        <v>5</v>
      </c>
      <c r="O102">
        <v>19.95</v>
      </c>
      <c r="P102" t="s">
        <v>58</v>
      </c>
      <c r="Q102" t="s">
        <v>41</v>
      </c>
      <c r="R102" t="s">
        <v>34</v>
      </c>
      <c r="S102" t="s">
        <v>49</v>
      </c>
      <c r="T102">
        <v>4</v>
      </c>
      <c r="U102" t="s">
        <v>34</v>
      </c>
    </row>
    <row r="103" spans="1:21" x14ac:dyDescent="0.3">
      <c r="A103">
        <v>1102</v>
      </c>
      <c r="B103" s="1">
        <v>46071</v>
      </c>
      <c r="C103" t="s">
        <v>42</v>
      </c>
      <c r="D103" t="s">
        <v>35</v>
      </c>
      <c r="E103" t="s">
        <v>23</v>
      </c>
      <c r="F103" t="s">
        <v>45</v>
      </c>
      <c r="G103" t="s">
        <v>152</v>
      </c>
      <c r="H103" t="s">
        <v>54</v>
      </c>
      <c r="I103" t="s">
        <v>73</v>
      </c>
      <c r="J103" t="s">
        <v>137</v>
      </c>
      <c r="K103" t="s">
        <v>200</v>
      </c>
      <c r="L103">
        <v>2</v>
      </c>
      <c r="M103">
        <v>8.44</v>
      </c>
      <c r="N103">
        <v>10</v>
      </c>
      <c r="O103">
        <v>15.19</v>
      </c>
      <c r="P103" t="s">
        <v>40</v>
      </c>
      <c r="Q103" t="s">
        <v>41</v>
      </c>
      <c r="R103" t="s">
        <v>32</v>
      </c>
      <c r="S103" t="s">
        <v>33</v>
      </c>
      <c r="T103">
        <v>4</v>
      </c>
      <c r="U103" t="s">
        <v>34</v>
      </c>
    </row>
    <row r="104" spans="1:21" x14ac:dyDescent="0.3">
      <c r="A104">
        <v>1103</v>
      </c>
      <c r="B104" s="1">
        <v>46033</v>
      </c>
      <c r="C104" t="s">
        <v>50</v>
      </c>
      <c r="D104" t="s">
        <v>77</v>
      </c>
      <c r="E104" t="s">
        <v>23</v>
      </c>
      <c r="F104" t="s">
        <v>69</v>
      </c>
      <c r="G104" t="s">
        <v>153</v>
      </c>
      <c r="H104" t="s">
        <v>26</v>
      </c>
      <c r="I104" t="s">
        <v>55</v>
      </c>
      <c r="J104" t="s">
        <v>111</v>
      </c>
      <c r="K104" t="s">
        <v>57</v>
      </c>
      <c r="L104">
        <v>2</v>
      </c>
      <c r="M104">
        <v>6.35</v>
      </c>
      <c r="N104">
        <v>0</v>
      </c>
      <c r="O104">
        <v>12.7</v>
      </c>
      <c r="P104" t="s">
        <v>30</v>
      </c>
      <c r="Q104" t="s">
        <v>41</v>
      </c>
      <c r="R104" t="s">
        <v>32</v>
      </c>
      <c r="S104" t="s">
        <v>49</v>
      </c>
      <c r="T104">
        <v>4</v>
      </c>
      <c r="U104" t="s">
        <v>34</v>
      </c>
    </row>
    <row r="105" spans="1:21" x14ac:dyDescent="0.3">
      <c r="A105">
        <v>1104</v>
      </c>
      <c r="B105" s="1">
        <v>46053</v>
      </c>
      <c r="C105" t="s">
        <v>50</v>
      </c>
      <c r="D105" t="s">
        <v>64</v>
      </c>
      <c r="E105" t="s">
        <v>23</v>
      </c>
      <c r="F105" t="s">
        <v>52</v>
      </c>
      <c r="G105" t="s">
        <v>154</v>
      </c>
      <c r="H105" t="s">
        <v>38</v>
      </c>
      <c r="I105" t="s">
        <v>27</v>
      </c>
      <c r="J105" t="s">
        <v>28</v>
      </c>
      <c r="K105" t="s">
        <v>29</v>
      </c>
      <c r="L105">
        <v>1</v>
      </c>
      <c r="M105">
        <v>4.99</v>
      </c>
      <c r="N105">
        <v>0</v>
      </c>
      <c r="O105">
        <v>4.99</v>
      </c>
      <c r="P105" t="s">
        <v>71</v>
      </c>
      <c r="Q105" t="s">
        <v>41</v>
      </c>
      <c r="R105" t="s">
        <v>32</v>
      </c>
      <c r="S105" t="s">
        <v>49</v>
      </c>
      <c r="T105">
        <v>5</v>
      </c>
      <c r="U105" t="s">
        <v>32</v>
      </c>
    </row>
    <row r="106" spans="1:21" x14ac:dyDescent="0.3">
      <c r="A106">
        <v>1105</v>
      </c>
      <c r="B106" s="1">
        <v>46101</v>
      </c>
      <c r="C106" t="s">
        <v>21</v>
      </c>
      <c r="D106" t="s">
        <v>22</v>
      </c>
      <c r="E106" t="s">
        <v>23</v>
      </c>
      <c r="F106" t="s">
        <v>59</v>
      </c>
      <c r="G106" t="s">
        <v>138</v>
      </c>
      <c r="H106" t="s">
        <v>26</v>
      </c>
      <c r="I106" t="s">
        <v>27</v>
      </c>
      <c r="J106" t="s">
        <v>79</v>
      </c>
      <c r="K106" t="s">
        <v>62</v>
      </c>
      <c r="L106">
        <v>2</v>
      </c>
      <c r="M106">
        <v>6.15</v>
      </c>
      <c r="N106">
        <v>10</v>
      </c>
      <c r="O106">
        <v>11.07</v>
      </c>
      <c r="P106" t="s">
        <v>58</v>
      </c>
      <c r="Q106" t="s">
        <v>41</v>
      </c>
      <c r="R106" t="s">
        <v>32</v>
      </c>
      <c r="S106" t="s">
        <v>33</v>
      </c>
      <c r="T106">
        <v>3</v>
      </c>
      <c r="U106" t="s">
        <v>34</v>
      </c>
    </row>
    <row r="107" spans="1:21" x14ac:dyDescent="0.3">
      <c r="A107">
        <v>1106</v>
      </c>
      <c r="B107" s="1">
        <v>46076</v>
      </c>
      <c r="C107" t="s">
        <v>42</v>
      </c>
      <c r="D107" t="s">
        <v>35</v>
      </c>
      <c r="E107" t="s">
        <v>23</v>
      </c>
      <c r="F107" t="s">
        <v>36</v>
      </c>
      <c r="G107" t="s">
        <v>155</v>
      </c>
      <c r="H107" t="s">
        <v>54</v>
      </c>
      <c r="I107" t="s">
        <v>81</v>
      </c>
      <c r="J107" t="s">
        <v>82</v>
      </c>
      <c r="K107" t="s">
        <v>200</v>
      </c>
      <c r="L107">
        <v>1</v>
      </c>
      <c r="M107">
        <v>4.45</v>
      </c>
      <c r="N107">
        <v>5</v>
      </c>
      <c r="O107">
        <v>4.2300000000000004</v>
      </c>
      <c r="P107" t="s">
        <v>199</v>
      </c>
      <c r="Q107" t="s">
        <v>31</v>
      </c>
      <c r="R107" t="s">
        <v>32</v>
      </c>
      <c r="S107" t="s">
        <v>49</v>
      </c>
      <c r="T107">
        <v>3</v>
      </c>
      <c r="U107" t="s">
        <v>32</v>
      </c>
    </row>
    <row r="108" spans="1:21" x14ac:dyDescent="0.3">
      <c r="A108">
        <v>1107</v>
      </c>
      <c r="B108" s="1">
        <v>46023</v>
      </c>
      <c r="C108" t="s">
        <v>50</v>
      </c>
      <c r="D108" t="s">
        <v>35</v>
      </c>
      <c r="E108" t="s">
        <v>23</v>
      </c>
      <c r="F108" t="s">
        <v>91</v>
      </c>
      <c r="G108" t="s">
        <v>142</v>
      </c>
      <c r="H108" t="s">
        <v>54</v>
      </c>
      <c r="I108" t="s">
        <v>55</v>
      </c>
      <c r="J108" t="s">
        <v>56</v>
      </c>
      <c r="K108" t="s">
        <v>57</v>
      </c>
      <c r="L108">
        <v>4</v>
      </c>
      <c r="M108">
        <v>5.77</v>
      </c>
      <c r="N108">
        <v>0</v>
      </c>
      <c r="O108">
        <v>23.08</v>
      </c>
      <c r="P108" t="s">
        <v>199</v>
      </c>
      <c r="Q108" t="s">
        <v>63</v>
      </c>
      <c r="R108" t="s">
        <v>32</v>
      </c>
      <c r="S108" t="s">
        <v>49</v>
      </c>
      <c r="T108">
        <v>3</v>
      </c>
      <c r="U108" t="s">
        <v>32</v>
      </c>
    </row>
    <row r="109" spans="1:21" x14ac:dyDescent="0.3">
      <c r="A109">
        <v>1108</v>
      </c>
      <c r="B109" s="1">
        <v>46028</v>
      </c>
      <c r="C109" t="s">
        <v>50</v>
      </c>
      <c r="D109" t="s">
        <v>64</v>
      </c>
      <c r="E109" t="s">
        <v>23</v>
      </c>
      <c r="F109" t="s">
        <v>83</v>
      </c>
      <c r="G109" t="s">
        <v>43</v>
      </c>
      <c r="H109" t="s">
        <v>54</v>
      </c>
      <c r="I109" t="s">
        <v>55</v>
      </c>
      <c r="J109" t="s">
        <v>111</v>
      </c>
      <c r="K109" t="s">
        <v>57</v>
      </c>
      <c r="L109">
        <v>1</v>
      </c>
      <c r="M109">
        <v>5.92</v>
      </c>
      <c r="N109">
        <v>0</v>
      </c>
      <c r="O109">
        <v>5.92</v>
      </c>
      <c r="P109" t="s">
        <v>30</v>
      </c>
      <c r="Q109" t="s">
        <v>63</v>
      </c>
      <c r="R109" t="s">
        <v>34</v>
      </c>
      <c r="S109" t="s">
        <v>33</v>
      </c>
      <c r="T109">
        <v>5</v>
      </c>
      <c r="U109" t="s">
        <v>34</v>
      </c>
    </row>
    <row r="110" spans="1:21" x14ac:dyDescent="0.3">
      <c r="A110">
        <v>1109</v>
      </c>
      <c r="B110" s="1">
        <v>46068</v>
      </c>
      <c r="C110" t="s">
        <v>42</v>
      </c>
      <c r="D110" t="s">
        <v>35</v>
      </c>
      <c r="E110" t="s">
        <v>23</v>
      </c>
      <c r="F110" t="s">
        <v>52</v>
      </c>
      <c r="G110" t="s">
        <v>142</v>
      </c>
      <c r="H110" t="s">
        <v>54</v>
      </c>
      <c r="I110" t="s">
        <v>55</v>
      </c>
      <c r="J110" t="s">
        <v>98</v>
      </c>
      <c r="K110" t="s">
        <v>29</v>
      </c>
      <c r="L110">
        <v>4</v>
      </c>
      <c r="M110">
        <v>5.08</v>
      </c>
      <c r="N110">
        <v>5</v>
      </c>
      <c r="O110">
        <v>19.3</v>
      </c>
      <c r="P110" t="s">
        <v>40</v>
      </c>
      <c r="Q110" t="s">
        <v>31</v>
      </c>
      <c r="R110" t="s">
        <v>34</v>
      </c>
      <c r="S110" t="s">
        <v>33</v>
      </c>
      <c r="T110">
        <v>4</v>
      </c>
      <c r="U110" t="s">
        <v>34</v>
      </c>
    </row>
    <row r="111" spans="1:21" x14ac:dyDescent="0.3">
      <c r="A111">
        <v>1110</v>
      </c>
      <c r="B111" s="1">
        <v>46048</v>
      </c>
      <c r="C111" t="s">
        <v>50</v>
      </c>
      <c r="D111" t="s">
        <v>22</v>
      </c>
      <c r="E111" t="s">
        <v>23</v>
      </c>
      <c r="F111" t="s">
        <v>45</v>
      </c>
      <c r="G111" t="s">
        <v>156</v>
      </c>
      <c r="H111" t="s">
        <v>54</v>
      </c>
      <c r="I111" t="s">
        <v>55</v>
      </c>
      <c r="J111" t="s">
        <v>111</v>
      </c>
      <c r="K111" t="s">
        <v>57</v>
      </c>
      <c r="L111">
        <v>4</v>
      </c>
      <c r="M111">
        <v>6.49</v>
      </c>
      <c r="N111">
        <v>10</v>
      </c>
      <c r="O111">
        <v>23.36</v>
      </c>
      <c r="P111" t="s">
        <v>58</v>
      </c>
      <c r="Q111" t="s">
        <v>41</v>
      </c>
      <c r="R111" t="s">
        <v>34</v>
      </c>
      <c r="S111" t="s">
        <v>33</v>
      </c>
      <c r="T111">
        <v>3</v>
      </c>
      <c r="U111" t="s">
        <v>34</v>
      </c>
    </row>
    <row r="112" spans="1:21" x14ac:dyDescent="0.3">
      <c r="A112">
        <v>1111</v>
      </c>
      <c r="B112" s="1">
        <v>46057</v>
      </c>
      <c r="C112" t="s">
        <v>42</v>
      </c>
      <c r="D112" t="s">
        <v>22</v>
      </c>
      <c r="E112" t="s">
        <v>23</v>
      </c>
      <c r="F112" t="s">
        <v>91</v>
      </c>
      <c r="G112" t="s">
        <v>157</v>
      </c>
      <c r="H112" t="s">
        <v>26</v>
      </c>
      <c r="I112" t="s">
        <v>47</v>
      </c>
      <c r="J112" t="s">
        <v>48</v>
      </c>
      <c r="K112" t="s">
        <v>200</v>
      </c>
      <c r="L112">
        <v>4</v>
      </c>
      <c r="M112">
        <v>18.5</v>
      </c>
      <c r="N112">
        <v>5</v>
      </c>
      <c r="O112">
        <v>70.3</v>
      </c>
      <c r="P112" t="s">
        <v>40</v>
      </c>
      <c r="Q112" t="s">
        <v>41</v>
      </c>
      <c r="R112" t="s">
        <v>34</v>
      </c>
      <c r="S112" t="s">
        <v>33</v>
      </c>
      <c r="T112">
        <v>3</v>
      </c>
      <c r="U112" t="s">
        <v>32</v>
      </c>
    </row>
    <row r="113" spans="1:21" x14ac:dyDescent="0.3">
      <c r="A113">
        <v>1112</v>
      </c>
      <c r="B113" s="1">
        <v>46033</v>
      </c>
      <c r="C113" t="s">
        <v>50</v>
      </c>
      <c r="D113" t="s">
        <v>64</v>
      </c>
      <c r="E113" t="s">
        <v>23</v>
      </c>
      <c r="F113" t="s">
        <v>45</v>
      </c>
      <c r="G113" t="s">
        <v>123</v>
      </c>
      <c r="H113" t="s">
        <v>26</v>
      </c>
      <c r="I113" t="s">
        <v>73</v>
      </c>
      <c r="J113" t="s">
        <v>74</v>
      </c>
      <c r="K113" t="s">
        <v>200</v>
      </c>
      <c r="L113">
        <v>3</v>
      </c>
      <c r="M113">
        <v>7.99</v>
      </c>
      <c r="N113">
        <v>0</v>
      </c>
      <c r="O113">
        <v>23.97</v>
      </c>
      <c r="P113" t="s">
        <v>199</v>
      </c>
      <c r="Q113" t="s">
        <v>63</v>
      </c>
      <c r="R113" t="s">
        <v>34</v>
      </c>
      <c r="S113" t="s">
        <v>33</v>
      </c>
      <c r="T113">
        <v>5</v>
      </c>
      <c r="U113" t="s">
        <v>32</v>
      </c>
    </row>
    <row r="114" spans="1:21" x14ac:dyDescent="0.3">
      <c r="A114">
        <v>1113</v>
      </c>
      <c r="B114" s="1">
        <v>46067</v>
      </c>
      <c r="C114" t="s">
        <v>42</v>
      </c>
      <c r="D114" t="s">
        <v>64</v>
      </c>
      <c r="E114" t="s">
        <v>23</v>
      </c>
      <c r="F114" t="s">
        <v>59</v>
      </c>
      <c r="G114" t="s">
        <v>158</v>
      </c>
      <c r="H114" t="s">
        <v>54</v>
      </c>
      <c r="I114" t="s">
        <v>27</v>
      </c>
      <c r="J114" t="s">
        <v>28</v>
      </c>
      <c r="K114" t="s">
        <v>57</v>
      </c>
      <c r="L114">
        <v>4</v>
      </c>
      <c r="M114">
        <v>6.35</v>
      </c>
      <c r="N114">
        <v>0</v>
      </c>
      <c r="O114">
        <v>25.4</v>
      </c>
      <c r="P114" t="s">
        <v>58</v>
      </c>
      <c r="Q114" t="s">
        <v>31</v>
      </c>
      <c r="R114" t="s">
        <v>32</v>
      </c>
      <c r="S114" t="s">
        <v>49</v>
      </c>
      <c r="T114">
        <v>3</v>
      </c>
      <c r="U114" t="s">
        <v>34</v>
      </c>
    </row>
    <row r="115" spans="1:21" x14ac:dyDescent="0.3">
      <c r="A115">
        <v>1114</v>
      </c>
      <c r="B115" s="1">
        <v>46039</v>
      </c>
      <c r="C115" t="s">
        <v>50</v>
      </c>
      <c r="D115" t="s">
        <v>22</v>
      </c>
      <c r="E115" t="s">
        <v>23</v>
      </c>
      <c r="F115" t="s">
        <v>52</v>
      </c>
      <c r="G115" t="s">
        <v>100</v>
      </c>
      <c r="H115" t="s">
        <v>26</v>
      </c>
      <c r="I115" t="s">
        <v>61</v>
      </c>
      <c r="J115" t="s">
        <v>201</v>
      </c>
      <c r="K115" t="s">
        <v>62</v>
      </c>
      <c r="L115">
        <v>3</v>
      </c>
      <c r="M115">
        <v>6.74</v>
      </c>
      <c r="N115">
        <v>10</v>
      </c>
      <c r="O115">
        <v>18.2</v>
      </c>
      <c r="P115" t="s">
        <v>71</v>
      </c>
      <c r="Q115" t="s">
        <v>41</v>
      </c>
      <c r="R115" t="s">
        <v>34</v>
      </c>
      <c r="S115" t="s">
        <v>33</v>
      </c>
      <c r="T115">
        <v>3</v>
      </c>
      <c r="U115" t="s">
        <v>34</v>
      </c>
    </row>
    <row r="116" spans="1:21" x14ac:dyDescent="0.3">
      <c r="A116">
        <v>1115</v>
      </c>
      <c r="B116" s="1">
        <v>46090</v>
      </c>
      <c r="C116" t="s">
        <v>21</v>
      </c>
      <c r="D116" t="s">
        <v>51</v>
      </c>
      <c r="E116" t="s">
        <v>23</v>
      </c>
      <c r="F116" t="s">
        <v>52</v>
      </c>
      <c r="G116" t="s">
        <v>159</v>
      </c>
      <c r="H116" t="s">
        <v>54</v>
      </c>
      <c r="I116" t="s">
        <v>81</v>
      </c>
      <c r="J116" t="s">
        <v>101</v>
      </c>
      <c r="K116" t="s">
        <v>200</v>
      </c>
      <c r="L116">
        <v>3</v>
      </c>
      <c r="M116">
        <v>3.92</v>
      </c>
      <c r="N116">
        <v>0</v>
      </c>
      <c r="O116">
        <v>11.76</v>
      </c>
      <c r="P116" t="s">
        <v>40</v>
      </c>
      <c r="Q116" t="s">
        <v>63</v>
      </c>
      <c r="R116" t="s">
        <v>32</v>
      </c>
      <c r="S116" t="s">
        <v>49</v>
      </c>
      <c r="T116">
        <v>3</v>
      </c>
      <c r="U116" t="s">
        <v>34</v>
      </c>
    </row>
    <row r="117" spans="1:21" x14ac:dyDescent="0.3">
      <c r="A117">
        <v>1116</v>
      </c>
      <c r="B117" s="1">
        <v>46080</v>
      </c>
      <c r="C117" t="s">
        <v>42</v>
      </c>
      <c r="D117" t="s">
        <v>77</v>
      </c>
      <c r="E117" t="s">
        <v>23</v>
      </c>
      <c r="F117" t="s">
        <v>69</v>
      </c>
      <c r="G117" t="s">
        <v>120</v>
      </c>
      <c r="H117" t="s">
        <v>54</v>
      </c>
      <c r="I117" t="s">
        <v>73</v>
      </c>
      <c r="J117" t="s">
        <v>137</v>
      </c>
      <c r="K117" t="s">
        <v>200</v>
      </c>
      <c r="L117">
        <v>4</v>
      </c>
      <c r="M117">
        <v>7.88</v>
      </c>
      <c r="N117">
        <v>0</v>
      </c>
      <c r="O117">
        <v>31.52</v>
      </c>
      <c r="P117" t="s">
        <v>40</v>
      </c>
      <c r="Q117" t="s">
        <v>31</v>
      </c>
      <c r="R117" t="s">
        <v>34</v>
      </c>
      <c r="S117" t="s">
        <v>49</v>
      </c>
      <c r="T117">
        <v>3</v>
      </c>
      <c r="U117" t="s">
        <v>34</v>
      </c>
    </row>
    <row r="118" spans="1:21" x14ac:dyDescent="0.3">
      <c r="A118">
        <v>1117</v>
      </c>
      <c r="B118" s="1">
        <v>46093</v>
      </c>
      <c r="C118" t="s">
        <v>21</v>
      </c>
      <c r="D118" t="s">
        <v>35</v>
      </c>
      <c r="E118" t="s">
        <v>23</v>
      </c>
      <c r="F118" t="s">
        <v>24</v>
      </c>
      <c r="G118" t="s">
        <v>114</v>
      </c>
      <c r="H118" t="s">
        <v>38</v>
      </c>
      <c r="I118" t="s">
        <v>55</v>
      </c>
      <c r="J118" t="s">
        <v>111</v>
      </c>
      <c r="K118" t="s">
        <v>29</v>
      </c>
      <c r="L118">
        <v>2</v>
      </c>
      <c r="M118">
        <v>4.91</v>
      </c>
      <c r="N118">
        <v>10</v>
      </c>
      <c r="O118">
        <v>8.84</v>
      </c>
      <c r="P118" t="s">
        <v>58</v>
      </c>
      <c r="Q118" t="s">
        <v>41</v>
      </c>
      <c r="R118" t="s">
        <v>32</v>
      </c>
      <c r="S118" t="s">
        <v>49</v>
      </c>
      <c r="T118">
        <v>4</v>
      </c>
      <c r="U118" t="s">
        <v>34</v>
      </c>
    </row>
    <row r="119" spans="1:21" x14ac:dyDescent="0.3">
      <c r="A119">
        <v>1118</v>
      </c>
      <c r="B119" s="1">
        <v>46082</v>
      </c>
      <c r="C119" t="s">
        <v>21</v>
      </c>
      <c r="D119" t="s">
        <v>35</v>
      </c>
      <c r="E119" t="s">
        <v>23</v>
      </c>
      <c r="F119" t="s">
        <v>59</v>
      </c>
      <c r="G119" t="s">
        <v>127</v>
      </c>
      <c r="H119" t="s">
        <v>26</v>
      </c>
      <c r="I119" t="s">
        <v>61</v>
      </c>
      <c r="J119" t="s">
        <v>201</v>
      </c>
      <c r="K119" t="s">
        <v>29</v>
      </c>
      <c r="L119">
        <v>1</v>
      </c>
      <c r="M119">
        <v>5.98</v>
      </c>
      <c r="N119">
        <v>5</v>
      </c>
      <c r="O119">
        <v>5.68</v>
      </c>
      <c r="P119" t="s">
        <v>199</v>
      </c>
      <c r="Q119" t="s">
        <v>31</v>
      </c>
      <c r="R119" t="s">
        <v>32</v>
      </c>
      <c r="S119" t="s">
        <v>49</v>
      </c>
      <c r="T119">
        <v>3</v>
      </c>
      <c r="U119" t="s">
        <v>34</v>
      </c>
    </row>
    <row r="120" spans="1:21" x14ac:dyDescent="0.3">
      <c r="A120">
        <v>1119</v>
      </c>
      <c r="B120" s="1">
        <v>46080</v>
      </c>
      <c r="C120" t="s">
        <v>42</v>
      </c>
      <c r="D120" t="s">
        <v>64</v>
      </c>
      <c r="E120" t="s">
        <v>23</v>
      </c>
      <c r="F120" t="s">
        <v>52</v>
      </c>
      <c r="G120" t="s">
        <v>127</v>
      </c>
      <c r="H120" t="s">
        <v>38</v>
      </c>
      <c r="I120" t="s">
        <v>89</v>
      </c>
      <c r="J120" t="s">
        <v>104</v>
      </c>
      <c r="K120" t="s">
        <v>200</v>
      </c>
      <c r="L120">
        <v>2</v>
      </c>
      <c r="M120">
        <v>5.49</v>
      </c>
      <c r="N120">
        <v>10</v>
      </c>
      <c r="O120">
        <v>9.8800000000000008</v>
      </c>
      <c r="P120" t="s">
        <v>40</v>
      </c>
      <c r="Q120" t="s">
        <v>63</v>
      </c>
      <c r="R120" t="s">
        <v>32</v>
      </c>
      <c r="S120" t="s">
        <v>33</v>
      </c>
      <c r="T120">
        <v>3</v>
      </c>
      <c r="U120" t="s">
        <v>34</v>
      </c>
    </row>
    <row r="121" spans="1:21" x14ac:dyDescent="0.3">
      <c r="A121">
        <v>1049</v>
      </c>
      <c r="B121" s="1">
        <v>46061</v>
      </c>
      <c r="C121" t="s">
        <v>42</v>
      </c>
      <c r="D121" t="s">
        <v>77</v>
      </c>
      <c r="E121" t="s">
        <v>23</v>
      </c>
      <c r="F121" t="s">
        <v>24</v>
      </c>
      <c r="G121" t="s">
        <v>160</v>
      </c>
      <c r="H121" t="s">
        <v>38</v>
      </c>
      <c r="I121" t="s">
        <v>61</v>
      </c>
      <c r="J121" t="s">
        <v>66</v>
      </c>
      <c r="K121" t="s">
        <v>57</v>
      </c>
      <c r="L121">
        <v>2</v>
      </c>
      <c r="M121">
        <v>7.41</v>
      </c>
      <c r="N121">
        <v>10</v>
      </c>
      <c r="O121">
        <v>13.34</v>
      </c>
      <c r="P121" t="s">
        <v>199</v>
      </c>
      <c r="Q121" t="s">
        <v>41</v>
      </c>
      <c r="R121" t="s">
        <v>32</v>
      </c>
      <c r="S121" t="s">
        <v>49</v>
      </c>
      <c r="T121">
        <v>5</v>
      </c>
      <c r="U121" t="s">
        <v>34</v>
      </c>
    </row>
    <row r="122" spans="1:21" x14ac:dyDescent="0.3">
      <c r="A122">
        <v>1121</v>
      </c>
      <c r="B122" s="1">
        <v>46087</v>
      </c>
      <c r="C122" t="s">
        <v>21</v>
      </c>
      <c r="D122" t="s">
        <v>77</v>
      </c>
      <c r="E122" t="s">
        <v>23</v>
      </c>
      <c r="F122" t="s">
        <v>91</v>
      </c>
      <c r="G122" t="s">
        <v>161</v>
      </c>
      <c r="H122" t="s">
        <v>54</v>
      </c>
      <c r="I122" t="s">
        <v>73</v>
      </c>
      <c r="J122" t="s">
        <v>146</v>
      </c>
      <c r="K122" t="s">
        <v>200</v>
      </c>
      <c r="L122">
        <v>2</v>
      </c>
      <c r="M122">
        <v>7.85</v>
      </c>
      <c r="N122">
        <v>10</v>
      </c>
      <c r="O122">
        <v>14.13</v>
      </c>
      <c r="P122" t="s">
        <v>30</v>
      </c>
      <c r="Q122" t="s">
        <v>31</v>
      </c>
      <c r="R122" t="s">
        <v>32</v>
      </c>
      <c r="S122" t="s">
        <v>33</v>
      </c>
      <c r="T122">
        <v>3</v>
      </c>
      <c r="U122" t="s">
        <v>34</v>
      </c>
    </row>
    <row r="123" spans="1:21" x14ac:dyDescent="0.3">
      <c r="A123">
        <v>1122</v>
      </c>
      <c r="B123" s="1">
        <v>46106</v>
      </c>
      <c r="C123" t="s">
        <v>21</v>
      </c>
      <c r="D123" t="s">
        <v>77</v>
      </c>
      <c r="E123" t="s">
        <v>23</v>
      </c>
      <c r="F123" t="s">
        <v>45</v>
      </c>
      <c r="G123" t="s">
        <v>162</v>
      </c>
      <c r="H123" t="s">
        <v>38</v>
      </c>
      <c r="I123" t="s">
        <v>47</v>
      </c>
      <c r="J123" t="s">
        <v>48</v>
      </c>
      <c r="K123" t="s">
        <v>200</v>
      </c>
      <c r="L123">
        <v>1</v>
      </c>
      <c r="M123">
        <v>18.149999999999999</v>
      </c>
      <c r="N123">
        <v>10</v>
      </c>
      <c r="O123">
        <v>16.34</v>
      </c>
      <c r="P123" t="s">
        <v>40</v>
      </c>
      <c r="Q123" t="s">
        <v>41</v>
      </c>
      <c r="R123" t="s">
        <v>34</v>
      </c>
      <c r="S123" t="s">
        <v>33</v>
      </c>
      <c r="T123">
        <v>5</v>
      </c>
      <c r="U123" t="s">
        <v>34</v>
      </c>
    </row>
    <row r="124" spans="1:21" x14ac:dyDescent="0.3">
      <c r="A124">
        <v>1123</v>
      </c>
      <c r="B124" s="1">
        <v>46043</v>
      </c>
      <c r="C124" t="s">
        <v>50</v>
      </c>
      <c r="D124" t="s">
        <v>64</v>
      </c>
      <c r="E124" t="s">
        <v>23</v>
      </c>
      <c r="F124" t="s">
        <v>91</v>
      </c>
      <c r="G124" t="s">
        <v>130</v>
      </c>
      <c r="H124" t="s">
        <v>54</v>
      </c>
      <c r="I124" t="s">
        <v>81</v>
      </c>
      <c r="J124" t="s">
        <v>101</v>
      </c>
      <c r="K124" t="s">
        <v>200</v>
      </c>
      <c r="L124">
        <v>4</v>
      </c>
      <c r="M124">
        <v>3.88</v>
      </c>
      <c r="N124">
        <v>10</v>
      </c>
      <c r="O124">
        <v>13.97</v>
      </c>
      <c r="P124" t="s">
        <v>71</v>
      </c>
      <c r="Q124" t="s">
        <v>63</v>
      </c>
      <c r="R124" t="s">
        <v>34</v>
      </c>
      <c r="S124" t="s">
        <v>49</v>
      </c>
      <c r="T124">
        <v>4</v>
      </c>
      <c r="U124" t="s">
        <v>34</v>
      </c>
    </row>
    <row r="125" spans="1:21" x14ac:dyDescent="0.3">
      <c r="A125">
        <v>1124</v>
      </c>
      <c r="B125" s="1">
        <v>46070</v>
      </c>
      <c r="C125" t="s">
        <v>42</v>
      </c>
      <c r="D125" t="s">
        <v>35</v>
      </c>
      <c r="E125" t="s">
        <v>23</v>
      </c>
      <c r="F125" t="s">
        <v>69</v>
      </c>
      <c r="G125" t="s">
        <v>105</v>
      </c>
      <c r="H125" t="s">
        <v>38</v>
      </c>
      <c r="I125" t="s">
        <v>73</v>
      </c>
      <c r="J125" t="s">
        <v>74</v>
      </c>
      <c r="K125" t="s">
        <v>200</v>
      </c>
      <c r="L125">
        <v>3</v>
      </c>
      <c r="M125">
        <v>7.92</v>
      </c>
      <c r="N125">
        <v>0</v>
      </c>
      <c r="O125">
        <v>23.76</v>
      </c>
      <c r="P125" t="s">
        <v>30</v>
      </c>
      <c r="Q125" t="s">
        <v>31</v>
      </c>
      <c r="R125" t="s">
        <v>34</v>
      </c>
      <c r="S125" t="s">
        <v>49</v>
      </c>
      <c r="T125">
        <v>5</v>
      </c>
      <c r="U125" t="s">
        <v>32</v>
      </c>
    </row>
    <row r="126" spans="1:21" x14ac:dyDescent="0.3">
      <c r="A126">
        <v>1125</v>
      </c>
      <c r="B126" s="1">
        <v>46054</v>
      </c>
      <c r="C126" t="s">
        <v>42</v>
      </c>
      <c r="D126" t="s">
        <v>77</v>
      </c>
      <c r="E126" t="s">
        <v>23</v>
      </c>
      <c r="F126" t="s">
        <v>69</v>
      </c>
      <c r="G126" t="s">
        <v>159</v>
      </c>
      <c r="H126" t="s">
        <v>26</v>
      </c>
      <c r="I126" t="s">
        <v>47</v>
      </c>
      <c r="J126" t="s">
        <v>48</v>
      </c>
      <c r="K126" t="s">
        <v>200</v>
      </c>
      <c r="L126">
        <v>3</v>
      </c>
      <c r="M126">
        <v>17.87</v>
      </c>
      <c r="N126">
        <v>0</v>
      </c>
      <c r="O126">
        <v>53.61</v>
      </c>
      <c r="P126" t="s">
        <v>40</v>
      </c>
      <c r="Q126" t="s">
        <v>31</v>
      </c>
      <c r="R126" t="s">
        <v>32</v>
      </c>
      <c r="S126" t="s">
        <v>49</v>
      </c>
      <c r="T126">
        <v>3</v>
      </c>
      <c r="U126" t="s">
        <v>32</v>
      </c>
    </row>
    <row r="127" spans="1:21" x14ac:dyDescent="0.3">
      <c r="A127">
        <v>1126</v>
      </c>
      <c r="B127" s="1">
        <v>46053</v>
      </c>
      <c r="C127" t="s">
        <v>50</v>
      </c>
      <c r="D127" t="s">
        <v>77</v>
      </c>
      <c r="E127" t="s">
        <v>23</v>
      </c>
      <c r="F127" t="s">
        <v>69</v>
      </c>
      <c r="G127" t="s">
        <v>86</v>
      </c>
      <c r="H127" t="s">
        <v>54</v>
      </c>
      <c r="I127" t="s">
        <v>73</v>
      </c>
      <c r="J127" t="s">
        <v>137</v>
      </c>
      <c r="K127" t="s">
        <v>200</v>
      </c>
      <c r="L127">
        <v>1</v>
      </c>
      <c r="M127">
        <v>7.75</v>
      </c>
      <c r="N127">
        <v>5</v>
      </c>
      <c r="O127">
        <v>7.36</v>
      </c>
      <c r="P127" t="s">
        <v>30</v>
      </c>
      <c r="Q127" t="s">
        <v>31</v>
      </c>
      <c r="R127" t="s">
        <v>34</v>
      </c>
      <c r="S127" t="s">
        <v>33</v>
      </c>
      <c r="T127">
        <v>3</v>
      </c>
      <c r="U127" t="s">
        <v>34</v>
      </c>
    </row>
    <row r="128" spans="1:21" x14ac:dyDescent="0.3">
      <c r="A128">
        <v>1127</v>
      </c>
      <c r="B128" s="1">
        <v>46069</v>
      </c>
      <c r="C128" t="s">
        <v>42</v>
      </c>
      <c r="D128" t="s">
        <v>64</v>
      </c>
      <c r="E128" t="s">
        <v>23</v>
      </c>
      <c r="F128" t="s">
        <v>45</v>
      </c>
      <c r="G128" t="s">
        <v>163</v>
      </c>
      <c r="H128" t="s">
        <v>26</v>
      </c>
      <c r="I128" t="s">
        <v>55</v>
      </c>
      <c r="J128" t="s">
        <v>56</v>
      </c>
      <c r="K128" t="s">
        <v>62</v>
      </c>
      <c r="L128">
        <v>1</v>
      </c>
      <c r="M128">
        <v>5.41</v>
      </c>
      <c r="N128">
        <v>0</v>
      </c>
      <c r="O128">
        <v>5.41</v>
      </c>
      <c r="P128" t="s">
        <v>199</v>
      </c>
      <c r="Q128" t="s">
        <v>41</v>
      </c>
      <c r="R128" t="s">
        <v>34</v>
      </c>
      <c r="S128" t="s">
        <v>33</v>
      </c>
      <c r="T128">
        <v>5</v>
      </c>
      <c r="U128" t="s">
        <v>34</v>
      </c>
    </row>
    <row r="129" spans="1:21" x14ac:dyDescent="0.3">
      <c r="A129">
        <v>1128</v>
      </c>
      <c r="B129" s="1">
        <v>46035</v>
      </c>
      <c r="C129" t="s">
        <v>50</v>
      </c>
      <c r="D129" t="s">
        <v>64</v>
      </c>
      <c r="E129" t="s">
        <v>23</v>
      </c>
      <c r="F129" t="s">
        <v>59</v>
      </c>
      <c r="G129" t="s">
        <v>87</v>
      </c>
      <c r="H129" t="s">
        <v>38</v>
      </c>
      <c r="I129" t="s">
        <v>55</v>
      </c>
      <c r="J129" t="s">
        <v>111</v>
      </c>
      <c r="K129" t="s">
        <v>57</v>
      </c>
      <c r="L129">
        <v>3</v>
      </c>
      <c r="M129">
        <v>6.28</v>
      </c>
      <c r="N129">
        <v>0</v>
      </c>
      <c r="O129">
        <v>18.84</v>
      </c>
      <c r="P129" t="s">
        <v>30</v>
      </c>
      <c r="Q129" t="s">
        <v>31</v>
      </c>
      <c r="R129" t="s">
        <v>32</v>
      </c>
      <c r="S129" t="s">
        <v>49</v>
      </c>
      <c r="T129">
        <v>3</v>
      </c>
      <c r="U129" t="s">
        <v>32</v>
      </c>
    </row>
    <row r="130" spans="1:21" x14ac:dyDescent="0.3">
      <c r="A130">
        <v>1129</v>
      </c>
      <c r="B130" s="1">
        <v>46089</v>
      </c>
      <c r="C130" t="s">
        <v>21</v>
      </c>
      <c r="D130" t="s">
        <v>64</v>
      </c>
      <c r="E130" t="s">
        <v>23</v>
      </c>
      <c r="F130" t="s">
        <v>52</v>
      </c>
      <c r="G130" t="s">
        <v>164</v>
      </c>
      <c r="H130" t="s">
        <v>54</v>
      </c>
      <c r="I130" t="s">
        <v>61</v>
      </c>
      <c r="J130" t="s">
        <v>201</v>
      </c>
      <c r="K130" t="s">
        <v>57</v>
      </c>
      <c r="L130">
        <v>2</v>
      </c>
      <c r="M130">
        <v>7.4</v>
      </c>
      <c r="N130">
        <v>10</v>
      </c>
      <c r="O130">
        <v>13.32</v>
      </c>
      <c r="P130" t="s">
        <v>71</v>
      </c>
      <c r="Q130" t="s">
        <v>63</v>
      </c>
      <c r="R130" t="s">
        <v>34</v>
      </c>
      <c r="S130" t="s">
        <v>49</v>
      </c>
      <c r="T130">
        <v>5</v>
      </c>
      <c r="U130" t="s">
        <v>34</v>
      </c>
    </row>
    <row r="131" spans="1:21" x14ac:dyDescent="0.3">
      <c r="A131">
        <v>1130</v>
      </c>
      <c r="B131" s="1">
        <v>46083</v>
      </c>
      <c r="C131" t="s">
        <v>21</v>
      </c>
      <c r="D131" t="s">
        <v>22</v>
      </c>
      <c r="E131" t="s">
        <v>23</v>
      </c>
      <c r="F131" t="s">
        <v>36</v>
      </c>
      <c r="G131" t="s">
        <v>72</v>
      </c>
      <c r="H131" t="s">
        <v>26</v>
      </c>
      <c r="I131" t="s">
        <v>55</v>
      </c>
      <c r="J131" t="s">
        <v>111</v>
      </c>
      <c r="K131" t="s">
        <v>57</v>
      </c>
      <c r="L131">
        <v>1</v>
      </c>
      <c r="M131">
        <v>6.48</v>
      </c>
      <c r="N131">
        <v>10</v>
      </c>
      <c r="O131">
        <v>5.83</v>
      </c>
      <c r="P131" t="s">
        <v>71</v>
      </c>
      <c r="Q131" t="s">
        <v>63</v>
      </c>
      <c r="R131" t="s">
        <v>32</v>
      </c>
      <c r="S131" t="s">
        <v>33</v>
      </c>
      <c r="T131">
        <v>5</v>
      </c>
      <c r="U131" t="s">
        <v>32</v>
      </c>
    </row>
    <row r="132" spans="1:21" x14ac:dyDescent="0.3">
      <c r="A132">
        <v>1131</v>
      </c>
      <c r="B132" s="1">
        <v>46044</v>
      </c>
      <c r="C132" t="s">
        <v>50</v>
      </c>
      <c r="D132" t="s">
        <v>35</v>
      </c>
      <c r="E132" t="s">
        <v>23</v>
      </c>
      <c r="F132" t="s">
        <v>24</v>
      </c>
      <c r="G132" t="s">
        <v>84</v>
      </c>
      <c r="H132" t="s">
        <v>38</v>
      </c>
      <c r="I132" t="s">
        <v>89</v>
      </c>
      <c r="J132" t="s">
        <v>104</v>
      </c>
      <c r="K132" t="s">
        <v>200</v>
      </c>
      <c r="L132">
        <v>2</v>
      </c>
      <c r="M132">
        <v>5.44</v>
      </c>
      <c r="N132">
        <v>0</v>
      </c>
      <c r="O132">
        <v>10.88</v>
      </c>
      <c r="P132" t="s">
        <v>40</v>
      </c>
      <c r="Q132" t="s">
        <v>41</v>
      </c>
      <c r="R132" t="s">
        <v>34</v>
      </c>
      <c r="S132" t="s">
        <v>33</v>
      </c>
      <c r="T132">
        <v>3</v>
      </c>
      <c r="U132" t="s">
        <v>32</v>
      </c>
    </row>
    <row r="133" spans="1:21" x14ac:dyDescent="0.3">
      <c r="A133">
        <v>1132</v>
      </c>
      <c r="B133" s="1">
        <v>46111</v>
      </c>
      <c r="C133" t="s">
        <v>21</v>
      </c>
      <c r="D133" t="s">
        <v>77</v>
      </c>
      <c r="E133" t="s">
        <v>23</v>
      </c>
      <c r="F133" t="s">
        <v>83</v>
      </c>
      <c r="G133" t="s">
        <v>165</v>
      </c>
      <c r="H133" t="s">
        <v>26</v>
      </c>
      <c r="I133" t="s">
        <v>81</v>
      </c>
      <c r="J133" t="s">
        <v>140</v>
      </c>
      <c r="K133" t="s">
        <v>200</v>
      </c>
      <c r="L133">
        <v>4</v>
      </c>
      <c r="M133">
        <v>4.49</v>
      </c>
      <c r="N133">
        <v>0</v>
      </c>
      <c r="O133">
        <v>17.96</v>
      </c>
      <c r="P133" t="s">
        <v>40</v>
      </c>
      <c r="Q133" t="s">
        <v>63</v>
      </c>
      <c r="R133" t="s">
        <v>34</v>
      </c>
      <c r="S133" t="s">
        <v>49</v>
      </c>
      <c r="T133">
        <v>4</v>
      </c>
      <c r="U133" t="s">
        <v>34</v>
      </c>
    </row>
    <row r="134" spans="1:21" x14ac:dyDescent="0.3">
      <c r="A134">
        <v>1133</v>
      </c>
      <c r="B134" s="1">
        <v>46081</v>
      </c>
      <c r="C134" t="s">
        <v>42</v>
      </c>
      <c r="D134" t="s">
        <v>35</v>
      </c>
      <c r="E134" t="s">
        <v>23</v>
      </c>
      <c r="F134" t="s">
        <v>45</v>
      </c>
      <c r="G134" t="s">
        <v>165</v>
      </c>
      <c r="H134" t="s">
        <v>26</v>
      </c>
      <c r="I134" t="s">
        <v>55</v>
      </c>
      <c r="J134" t="s">
        <v>98</v>
      </c>
      <c r="K134" t="s">
        <v>62</v>
      </c>
      <c r="L134">
        <v>3</v>
      </c>
      <c r="M134">
        <v>5.45</v>
      </c>
      <c r="N134">
        <v>0</v>
      </c>
      <c r="O134">
        <v>16.350000000000001</v>
      </c>
      <c r="P134" t="s">
        <v>58</v>
      </c>
      <c r="Q134" t="s">
        <v>41</v>
      </c>
      <c r="R134" t="s">
        <v>34</v>
      </c>
      <c r="S134" t="s">
        <v>33</v>
      </c>
      <c r="T134">
        <v>4</v>
      </c>
      <c r="U134" t="s">
        <v>32</v>
      </c>
    </row>
    <row r="135" spans="1:21" x14ac:dyDescent="0.3">
      <c r="A135">
        <v>1134</v>
      </c>
      <c r="B135" s="1">
        <v>46063</v>
      </c>
      <c r="C135" t="s">
        <v>42</v>
      </c>
      <c r="D135" t="s">
        <v>64</v>
      </c>
      <c r="E135" t="s">
        <v>23</v>
      </c>
      <c r="F135" t="s">
        <v>59</v>
      </c>
      <c r="G135" t="s">
        <v>65</v>
      </c>
      <c r="H135" t="s">
        <v>26</v>
      </c>
      <c r="I135" t="s">
        <v>55</v>
      </c>
      <c r="J135" t="s">
        <v>98</v>
      </c>
      <c r="K135" t="s">
        <v>57</v>
      </c>
      <c r="L135">
        <v>3</v>
      </c>
      <c r="M135">
        <v>5.86</v>
      </c>
      <c r="N135">
        <v>10</v>
      </c>
      <c r="O135">
        <v>15.82</v>
      </c>
      <c r="P135" t="s">
        <v>71</v>
      </c>
      <c r="Q135" t="s">
        <v>31</v>
      </c>
      <c r="R135" t="s">
        <v>34</v>
      </c>
      <c r="S135" t="s">
        <v>33</v>
      </c>
      <c r="T135">
        <v>3</v>
      </c>
      <c r="U135" t="s">
        <v>34</v>
      </c>
    </row>
    <row r="136" spans="1:21" x14ac:dyDescent="0.3">
      <c r="A136">
        <v>1135</v>
      </c>
      <c r="B136" s="1">
        <v>46033</v>
      </c>
      <c r="C136" t="s">
        <v>50</v>
      </c>
      <c r="D136" t="s">
        <v>51</v>
      </c>
      <c r="E136" t="s">
        <v>23</v>
      </c>
      <c r="F136" t="s">
        <v>45</v>
      </c>
      <c r="G136" t="s">
        <v>166</v>
      </c>
      <c r="H136" t="s">
        <v>54</v>
      </c>
      <c r="I136" t="s">
        <v>81</v>
      </c>
      <c r="J136" t="s">
        <v>140</v>
      </c>
      <c r="K136" t="s">
        <v>200</v>
      </c>
      <c r="L136">
        <v>3</v>
      </c>
      <c r="M136">
        <v>4.37</v>
      </c>
      <c r="N136">
        <v>0</v>
      </c>
      <c r="O136">
        <v>13.11</v>
      </c>
      <c r="P136" t="s">
        <v>71</v>
      </c>
      <c r="Q136" t="s">
        <v>31</v>
      </c>
      <c r="R136" t="s">
        <v>32</v>
      </c>
      <c r="S136" t="s">
        <v>33</v>
      </c>
      <c r="T136">
        <v>4</v>
      </c>
      <c r="U136" t="s">
        <v>34</v>
      </c>
    </row>
    <row r="137" spans="1:21" x14ac:dyDescent="0.3">
      <c r="A137">
        <v>1136</v>
      </c>
      <c r="B137" s="1">
        <v>46029</v>
      </c>
      <c r="C137" t="s">
        <v>50</v>
      </c>
      <c r="D137" t="s">
        <v>35</v>
      </c>
      <c r="E137" t="s">
        <v>23</v>
      </c>
      <c r="F137" t="s">
        <v>24</v>
      </c>
      <c r="G137" t="s">
        <v>94</v>
      </c>
      <c r="H137" t="s">
        <v>38</v>
      </c>
      <c r="I137" t="s">
        <v>61</v>
      </c>
      <c r="J137" t="s">
        <v>201</v>
      </c>
      <c r="K137" t="s">
        <v>29</v>
      </c>
      <c r="L137">
        <v>1</v>
      </c>
      <c r="M137">
        <v>5.79</v>
      </c>
      <c r="N137">
        <v>0</v>
      </c>
      <c r="O137">
        <v>5.79</v>
      </c>
      <c r="P137" t="s">
        <v>30</v>
      </c>
      <c r="Q137" t="s">
        <v>63</v>
      </c>
      <c r="R137" t="s">
        <v>32</v>
      </c>
      <c r="S137" t="s">
        <v>49</v>
      </c>
      <c r="T137">
        <v>3</v>
      </c>
      <c r="U137" t="s">
        <v>32</v>
      </c>
    </row>
    <row r="138" spans="1:21" x14ac:dyDescent="0.3">
      <c r="A138">
        <v>1137</v>
      </c>
      <c r="B138" s="1">
        <v>46084</v>
      </c>
      <c r="C138" t="s">
        <v>21</v>
      </c>
      <c r="D138" t="s">
        <v>77</v>
      </c>
      <c r="E138" t="s">
        <v>23</v>
      </c>
      <c r="F138" t="s">
        <v>83</v>
      </c>
      <c r="G138" t="s">
        <v>53</v>
      </c>
      <c r="H138" t="s">
        <v>54</v>
      </c>
      <c r="I138" t="s">
        <v>47</v>
      </c>
      <c r="J138" t="s">
        <v>48</v>
      </c>
      <c r="K138" t="s">
        <v>200</v>
      </c>
      <c r="L138">
        <v>3</v>
      </c>
      <c r="M138">
        <v>17.96</v>
      </c>
      <c r="N138">
        <v>0</v>
      </c>
      <c r="O138">
        <v>53.88</v>
      </c>
      <c r="P138" t="s">
        <v>30</v>
      </c>
      <c r="Q138" t="s">
        <v>31</v>
      </c>
      <c r="R138" t="s">
        <v>34</v>
      </c>
      <c r="S138" t="s">
        <v>33</v>
      </c>
      <c r="T138">
        <v>3</v>
      </c>
      <c r="U138" t="s">
        <v>34</v>
      </c>
    </row>
    <row r="139" spans="1:21" x14ac:dyDescent="0.3">
      <c r="A139">
        <v>1138</v>
      </c>
      <c r="B139" s="1">
        <v>46073</v>
      </c>
      <c r="C139" t="s">
        <v>42</v>
      </c>
      <c r="D139" t="s">
        <v>64</v>
      </c>
      <c r="E139" t="s">
        <v>23</v>
      </c>
      <c r="F139" t="s">
        <v>24</v>
      </c>
      <c r="G139" t="s">
        <v>92</v>
      </c>
      <c r="H139" t="s">
        <v>26</v>
      </c>
      <c r="I139" t="s">
        <v>61</v>
      </c>
      <c r="J139" t="s">
        <v>201</v>
      </c>
      <c r="K139" t="s">
        <v>62</v>
      </c>
      <c r="L139">
        <v>1</v>
      </c>
      <c r="M139">
        <v>6.41</v>
      </c>
      <c r="N139">
        <v>10</v>
      </c>
      <c r="O139">
        <v>5.77</v>
      </c>
      <c r="P139" t="s">
        <v>71</v>
      </c>
      <c r="Q139" t="s">
        <v>41</v>
      </c>
      <c r="R139" t="s">
        <v>34</v>
      </c>
      <c r="S139" t="s">
        <v>33</v>
      </c>
      <c r="T139">
        <v>3</v>
      </c>
      <c r="U139" t="s">
        <v>32</v>
      </c>
    </row>
    <row r="140" spans="1:21" x14ac:dyDescent="0.3">
      <c r="A140">
        <v>1139</v>
      </c>
      <c r="B140" s="1">
        <v>46057</v>
      </c>
      <c r="C140" t="s">
        <v>42</v>
      </c>
      <c r="D140" t="s">
        <v>77</v>
      </c>
      <c r="E140" t="s">
        <v>23</v>
      </c>
      <c r="F140" t="s">
        <v>52</v>
      </c>
      <c r="G140" t="s">
        <v>167</v>
      </c>
      <c r="H140" t="s">
        <v>54</v>
      </c>
      <c r="I140" t="s">
        <v>47</v>
      </c>
      <c r="J140" t="s">
        <v>68</v>
      </c>
      <c r="K140" t="s">
        <v>200</v>
      </c>
      <c r="L140">
        <v>3</v>
      </c>
      <c r="M140">
        <v>17.850000000000001</v>
      </c>
      <c r="N140">
        <v>5</v>
      </c>
      <c r="O140">
        <v>50.87</v>
      </c>
      <c r="P140" t="s">
        <v>71</v>
      </c>
      <c r="Q140" t="s">
        <v>41</v>
      </c>
      <c r="R140" t="s">
        <v>32</v>
      </c>
      <c r="S140" t="s">
        <v>33</v>
      </c>
      <c r="T140">
        <v>5</v>
      </c>
      <c r="U140" t="s">
        <v>32</v>
      </c>
    </row>
    <row r="141" spans="1:21" x14ac:dyDescent="0.3">
      <c r="A141">
        <v>1140</v>
      </c>
      <c r="B141" s="1">
        <v>46077</v>
      </c>
      <c r="C141" t="s">
        <v>42</v>
      </c>
      <c r="D141" t="s">
        <v>35</v>
      </c>
      <c r="E141" t="s">
        <v>23</v>
      </c>
      <c r="F141" t="s">
        <v>91</v>
      </c>
      <c r="G141" t="s">
        <v>166</v>
      </c>
      <c r="H141" t="s">
        <v>38</v>
      </c>
      <c r="I141" t="s">
        <v>55</v>
      </c>
      <c r="J141" t="s">
        <v>56</v>
      </c>
      <c r="K141" t="s">
        <v>62</v>
      </c>
      <c r="L141">
        <v>1</v>
      </c>
      <c r="M141">
        <v>5.07</v>
      </c>
      <c r="N141">
        <v>0</v>
      </c>
      <c r="O141">
        <v>5.07</v>
      </c>
      <c r="P141" t="s">
        <v>30</v>
      </c>
      <c r="Q141" t="s">
        <v>41</v>
      </c>
      <c r="R141" t="s">
        <v>34</v>
      </c>
      <c r="S141" t="s">
        <v>33</v>
      </c>
      <c r="T141">
        <v>3</v>
      </c>
      <c r="U141" t="s">
        <v>32</v>
      </c>
    </row>
    <row r="142" spans="1:21" x14ac:dyDescent="0.3">
      <c r="A142">
        <v>1141</v>
      </c>
      <c r="B142" s="1">
        <v>46057</v>
      </c>
      <c r="C142" t="s">
        <v>42</v>
      </c>
      <c r="D142" t="s">
        <v>51</v>
      </c>
      <c r="E142" t="s">
        <v>23</v>
      </c>
      <c r="F142" t="s">
        <v>36</v>
      </c>
      <c r="G142" t="s">
        <v>126</v>
      </c>
      <c r="H142" t="s">
        <v>38</v>
      </c>
      <c r="I142" t="s">
        <v>55</v>
      </c>
      <c r="J142" t="s">
        <v>98</v>
      </c>
      <c r="K142" t="s">
        <v>57</v>
      </c>
      <c r="L142">
        <v>1</v>
      </c>
      <c r="M142">
        <v>5.84</v>
      </c>
      <c r="N142">
        <v>0</v>
      </c>
      <c r="O142">
        <v>5.84</v>
      </c>
      <c r="P142" t="s">
        <v>40</v>
      </c>
      <c r="Q142" t="s">
        <v>41</v>
      </c>
      <c r="R142" t="s">
        <v>32</v>
      </c>
      <c r="S142" t="s">
        <v>49</v>
      </c>
      <c r="T142">
        <v>4</v>
      </c>
      <c r="U142" t="s">
        <v>34</v>
      </c>
    </row>
    <row r="143" spans="1:21" x14ac:dyDescent="0.3">
      <c r="A143">
        <v>1142</v>
      </c>
      <c r="B143" s="1">
        <v>46111</v>
      </c>
      <c r="C143" t="s">
        <v>21</v>
      </c>
      <c r="D143" t="s">
        <v>22</v>
      </c>
      <c r="E143" t="s">
        <v>23</v>
      </c>
      <c r="F143" t="s">
        <v>69</v>
      </c>
      <c r="G143" t="s">
        <v>122</v>
      </c>
      <c r="H143" t="s">
        <v>26</v>
      </c>
      <c r="I143" t="s">
        <v>89</v>
      </c>
      <c r="J143" t="s">
        <v>104</v>
      </c>
      <c r="K143" t="s">
        <v>200</v>
      </c>
      <c r="L143">
        <v>3</v>
      </c>
      <c r="M143">
        <v>5.25</v>
      </c>
      <c r="N143">
        <v>0</v>
      </c>
      <c r="O143">
        <v>15.75</v>
      </c>
      <c r="P143" t="s">
        <v>199</v>
      </c>
      <c r="Q143" t="s">
        <v>41</v>
      </c>
      <c r="R143" t="s">
        <v>34</v>
      </c>
      <c r="S143" t="s">
        <v>49</v>
      </c>
      <c r="T143">
        <v>4</v>
      </c>
      <c r="U143" t="s">
        <v>34</v>
      </c>
    </row>
    <row r="144" spans="1:21" x14ac:dyDescent="0.3">
      <c r="A144">
        <v>1143</v>
      </c>
      <c r="B144" s="1">
        <v>46054</v>
      </c>
      <c r="C144" t="s">
        <v>42</v>
      </c>
      <c r="D144" t="s">
        <v>35</v>
      </c>
      <c r="E144" t="s">
        <v>23</v>
      </c>
      <c r="F144" t="s">
        <v>24</v>
      </c>
      <c r="G144" t="s">
        <v>141</v>
      </c>
      <c r="H144" t="s">
        <v>54</v>
      </c>
      <c r="I144" t="s">
        <v>47</v>
      </c>
      <c r="J144" t="s">
        <v>68</v>
      </c>
      <c r="K144" t="s">
        <v>200</v>
      </c>
      <c r="L144">
        <v>4</v>
      </c>
      <c r="M144">
        <v>18.18</v>
      </c>
      <c r="N144">
        <v>0</v>
      </c>
      <c r="O144">
        <v>72.72</v>
      </c>
      <c r="P144" t="s">
        <v>199</v>
      </c>
      <c r="Q144" t="s">
        <v>31</v>
      </c>
      <c r="R144" t="s">
        <v>32</v>
      </c>
      <c r="S144" t="s">
        <v>33</v>
      </c>
      <c r="T144">
        <v>3</v>
      </c>
      <c r="U144" t="s">
        <v>34</v>
      </c>
    </row>
    <row r="145" spans="1:21" x14ac:dyDescent="0.3">
      <c r="A145">
        <v>1144</v>
      </c>
      <c r="B145" s="1">
        <v>46089</v>
      </c>
      <c r="C145" t="s">
        <v>21</v>
      </c>
      <c r="D145" t="s">
        <v>64</v>
      </c>
      <c r="E145" t="s">
        <v>23</v>
      </c>
      <c r="F145" t="s">
        <v>36</v>
      </c>
      <c r="G145" t="s">
        <v>136</v>
      </c>
      <c r="H145" t="s">
        <v>38</v>
      </c>
      <c r="I145" t="s">
        <v>27</v>
      </c>
      <c r="J145" t="s">
        <v>168</v>
      </c>
      <c r="K145" t="s">
        <v>57</v>
      </c>
      <c r="L145">
        <v>4</v>
      </c>
      <c r="M145">
        <v>6.18</v>
      </c>
      <c r="N145">
        <v>10</v>
      </c>
      <c r="O145">
        <v>22.25</v>
      </c>
      <c r="P145" t="s">
        <v>199</v>
      </c>
      <c r="Q145" t="s">
        <v>41</v>
      </c>
      <c r="R145" t="s">
        <v>34</v>
      </c>
      <c r="S145" t="s">
        <v>33</v>
      </c>
      <c r="T145">
        <v>3</v>
      </c>
      <c r="U145" t="s">
        <v>32</v>
      </c>
    </row>
    <row r="146" spans="1:21" x14ac:dyDescent="0.3">
      <c r="A146">
        <v>1145</v>
      </c>
      <c r="B146" s="1">
        <v>46109</v>
      </c>
      <c r="C146" t="s">
        <v>21</v>
      </c>
      <c r="D146" t="s">
        <v>51</v>
      </c>
      <c r="E146" t="s">
        <v>23</v>
      </c>
      <c r="F146" t="s">
        <v>24</v>
      </c>
      <c r="G146" t="s">
        <v>96</v>
      </c>
      <c r="H146" t="s">
        <v>26</v>
      </c>
      <c r="I146" t="s">
        <v>89</v>
      </c>
      <c r="J146" t="s">
        <v>90</v>
      </c>
      <c r="K146" t="s">
        <v>200</v>
      </c>
      <c r="L146">
        <v>4</v>
      </c>
      <c r="M146">
        <v>4.93</v>
      </c>
      <c r="N146">
        <v>0</v>
      </c>
      <c r="O146">
        <v>19.72</v>
      </c>
      <c r="P146" t="s">
        <v>71</v>
      </c>
      <c r="Q146" t="s">
        <v>63</v>
      </c>
      <c r="R146" t="s">
        <v>32</v>
      </c>
      <c r="S146" t="s">
        <v>33</v>
      </c>
      <c r="T146">
        <v>4</v>
      </c>
      <c r="U146" t="s">
        <v>34</v>
      </c>
    </row>
    <row r="147" spans="1:21" x14ac:dyDescent="0.3">
      <c r="A147">
        <v>1146</v>
      </c>
      <c r="B147" s="1">
        <v>46083</v>
      </c>
      <c r="C147" t="s">
        <v>21</v>
      </c>
      <c r="D147" t="s">
        <v>22</v>
      </c>
      <c r="E147" t="s">
        <v>23</v>
      </c>
      <c r="F147" t="s">
        <v>59</v>
      </c>
      <c r="G147" t="s">
        <v>169</v>
      </c>
      <c r="H147" t="s">
        <v>26</v>
      </c>
      <c r="I147" t="s">
        <v>55</v>
      </c>
      <c r="J147" t="s">
        <v>111</v>
      </c>
      <c r="K147" t="s">
        <v>29</v>
      </c>
      <c r="L147">
        <v>2</v>
      </c>
      <c r="M147">
        <v>4.8899999999999997</v>
      </c>
      <c r="N147">
        <v>5</v>
      </c>
      <c r="O147">
        <v>9.2899999999999991</v>
      </c>
      <c r="P147" t="s">
        <v>40</v>
      </c>
      <c r="Q147" t="s">
        <v>31</v>
      </c>
      <c r="R147" t="s">
        <v>32</v>
      </c>
      <c r="S147" t="s">
        <v>49</v>
      </c>
      <c r="T147">
        <v>5</v>
      </c>
      <c r="U147" t="s">
        <v>34</v>
      </c>
    </row>
    <row r="148" spans="1:21" x14ac:dyDescent="0.3">
      <c r="A148">
        <v>1147</v>
      </c>
      <c r="B148" s="1">
        <v>46045</v>
      </c>
      <c r="C148" t="s">
        <v>50</v>
      </c>
      <c r="D148" t="s">
        <v>35</v>
      </c>
      <c r="E148" t="s">
        <v>23</v>
      </c>
      <c r="F148" t="s">
        <v>36</v>
      </c>
      <c r="G148" t="s">
        <v>170</v>
      </c>
      <c r="H148" t="s">
        <v>26</v>
      </c>
      <c r="I148" t="s">
        <v>81</v>
      </c>
      <c r="J148" t="s">
        <v>140</v>
      </c>
      <c r="K148" t="s">
        <v>200</v>
      </c>
      <c r="L148">
        <v>2</v>
      </c>
      <c r="M148">
        <v>4.3600000000000003</v>
      </c>
      <c r="N148">
        <v>0</v>
      </c>
      <c r="O148">
        <v>8.7200000000000006</v>
      </c>
      <c r="P148" t="s">
        <v>199</v>
      </c>
      <c r="Q148" t="s">
        <v>41</v>
      </c>
      <c r="R148" t="s">
        <v>34</v>
      </c>
      <c r="S148" t="s">
        <v>33</v>
      </c>
      <c r="T148">
        <v>3</v>
      </c>
      <c r="U148" t="s">
        <v>34</v>
      </c>
    </row>
    <row r="149" spans="1:21" x14ac:dyDescent="0.3">
      <c r="A149">
        <v>1148</v>
      </c>
      <c r="B149" s="1">
        <v>46081</v>
      </c>
      <c r="C149" t="s">
        <v>42</v>
      </c>
      <c r="D149" t="s">
        <v>51</v>
      </c>
      <c r="E149" t="s">
        <v>23</v>
      </c>
      <c r="F149" t="s">
        <v>36</v>
      </c>
      <c r="G149" t="s">
        <v>171</v>
      </c>
      <c r="H149" t="s">
        <v>38</v>
      </c>
      <c r="I149" t="s">
        <v>61</v>
      </c>
      <c r="J149" t="s">
        <v>66</v>
      </c>
      <c r="K149" t="s">
        <v>29</v>
      </c>
      <c r="L149">
        <v>1</v>
      </c>
      <c r="M149">
        <v>5.73</v>
      </c>
      <c r="N149">
        <v>5</v>
      </c>
      <c r="O149">
        <v>5.44</v>
      </c>
      <c r="P149" t="s">
        <v>30</v>
      </c>
      <c r="Q149" t="s">
        <v>31</v>
      </c>
      <c r="R149" t="s">
        <v>32</v>
      </c>
      <c r="S149" t="s">
        <v>49</v>
      </c>
      <c r="T149">
        <v>3</v>
      </c>
      <c r="U149" t="s">
        <v>34</v>
      </c>
    </row>
    <row r="150" spans="1:21" x14ac:dyDescent="0.3">
      <c r="A150">
        <v>1149</v>
      </c>
      <c r="B150" s="1">
        <v>46054</v>
      </c>
      <c r="C150" t="s">
        <v>42</v>
      </c>
      <c r="D150" t="s">
        <v>22</v>
      </c>
      <c r="E150" t="s">
        <v>23</v>
      </c>
      <c r="F150" t="s">
        <v>45</v>
      </c>
      <c r="G150" t="s">
        <v>131</v>
      </c>
      <c r="H150" t="s">
        <v>54</v>
      </c>
      <c r="I150" t="s">
        <v>81</v>
      </c>
      <c r="J150" t="s">
        <v>101</v>
      </c>
      <c r="K150" t="s">
        <v>200</v>
      </c>
      <c r="L150">
        <v>2</v>
      </c>
      <c r="M150">
        <v>4.1900000000000004</v>
      </c>
      <c r="N150">
        <v>0</v>
      </c>
      <c r="O150">
        <v>8.3800000000000008</v>
      </c>
      <c r="P150" t="s">
        <v>199</v>
      </c>
      <c r="Q150" t="s">
        <v>41</v>
      </c>
      <c r="R150" t="s">
        <v>34</v>
      </c>
      <c r="S150" t="s">
        <v>33</v>
      </c>
      <c r="T150">
        <v>4</v>
      </c>
      <c r="U150" t="s">
        <v>34</v>
      </c>
    </row>
    <row r="151" spans="1:21" x14ac:dyDescent="0.3">
      <c r="A151">
        <v>1150</v>
      </c>
      <c r="B151" s="1">
        <v>46041</v>
      </c>
      <c r="C151" t="s">
        <v>50</v>
      </c>
      <c r="D151" t="s">
        <v>35</v>
      </c>
      <c r="E151" t="s">
        <v>23</v>
      </c>
      <c r="F151" t="s">
        <v>59</v>
      </c>
      <c r="G151" t="s">
        <v>165</v>
      </c>
      <c r="H151" t="s">
        <v>26</v>
      </c>
      <c r="I151" t="s">
        <v>61</v>
      </c>
      <c r="J151" t="s">
        <v>66</v>
      </c>
      <c r="K151" t="s">
        <v>62</v>
      </c>
      <c r="L151">
        <v>3</v>
      </c>
      <c r="M151">
        <v>6.45</v>
      </c>
      <c r="N151">
        <v>10</v>
      </c>
      <c r="O151">
        <v>17.420000000000002</v>
      </c>
      <c r="P151" t="s">
        <v>30</v>
      </c>
      <c r="Q151" t="s">
        <v>41</v>
      </c>
      <c r="R151" t="s">
        <v>34</v>
      </c>
      <c r="S151" t="s">
        <v>49</v>
      </c>
      <c r="T151">
        <v>4</v>
      </c>
      <c r="U151" t="s">
        <v>32</v>
      </c>
    </row>
    <row r="152" spans="1:21" x14ac:dyDescent="0.3">
      <c r="A152">
        <v>1151</v>
      </c>
      <c r="B152" s="1">
        <v>46075</v>
      </c>
      <c r="C152" t="s">
        <v>42</v>
      </c>
      <c r="D152" t="s">
        <v>77</v>
      </c>
      <c r="E152" t="s">
        <v>23</v>
      </c>
      <c r="F152" t="s">
        <v>52</v>
      </c>
      <c r="G152" t="s">
        <v>172</v>
      </c>
      <c r="H152" t="s">
        <v>26</v>
      </c>
      <c r="I152" t="s">
        <v>55</v>
      </c>
      <c r="J152" t="s">
        <v>111</v>
      </c>
      <c r="K152" t="s">
        <v>29</v>
      </c>
      <c r="L152">
        <v>4</v>
      </c>
      <c r="M152">
        <v>4.42</v>
      </c>
      <c r="N152">
        <v>0</v>
      </c>
      <c r="O152">
        <v>17.68</v>
      </c>
      <c r="P152" t="s">
        <v>30</v>
      </c>
      <c r="Q152" t="s">
        <v>63</v>
      </c>
      <c r="R152" t="s">
        <v>34</v>
      </c>
      <c r="S152" t="s">
        <v>49</v>
      </c>
      <c r="T152">
        <v>5</v>
      </c>
      <c r="U152" t="s">
        <v>34</v>
      </c>
    </row>
    <row r="153" spans="1:21" x14ac:dyDescent="0.3">
      <c r="A153">
        <v>1152</v>
      </c>
      <c r="B153" s="1">
        <v>46072</v>
      </c>
      <c r="C153" t="s">
        <v>42</v>
      </c>
      <c r="D153" t="s">
        <v>77</v>
      </c>
      <c r="E153" t="s">
        <v>23</v>
      </c>
      <c r="F153" t="s">
        <v>83</v>
      </c>
      <c r="G153" t="s">
        <v>152</v>
      </c>
      <c r="H153" t="s">
        <v>26</v>
      </c>
      <c r="I153" t="s">
        <v>55</v>
      </c>
      <c r="J153" t="s">
        <v>56</v>
      </c>
      <c r="K153" t="s">
        <v>62</v>
      </c>
      <c r="L153">
        <v>1</v>
      </c>
      <c r="M153">
        <v>5.73</v>
      </c>
      <c r="N153">
        <v>0</v>
      </c>
      <c r="O153">
        <v>5.73</v>
      </c>
      <c r="P153" t="s">
        <v>40</v>
      </c>
      <c r="Q153" t="s">
        <v>63</v>
      </c>
      <c r="R153" t="s">
        <v>32</v>
      </c>
      <c r="S153" t="s">
        <v>33</v>
      </c>
      <c r="T153">
        <v>3</v>
      </c>
      <c r="U153" t="s">
        <v>34</v>
      </c>
    </row>
    <row r="154" spans="1:21" x14ac:dyDescent="0.3">
      <c r="A154">
        <v>1153</v>
      </c>
      <c r="B154" s="1">
        <v>46098</v>
      </c>
      <c r="C154" t="s">
        <v>21</v>
      </c>
      <c r="D154" t="s">
        <v>35</v>
      </c>
      <c r="E154" t="s">
        <v>23</v>
      </c>
      <c r="F154" t="s">
        <v>83</v>
      </c>
      <c r="G154" t="s">
        <v>95</v>
      </c>
      <c r="H154" t="s">
        <v>38</v>
      </c>
      <c r="I154" t="s">
        <v>61</v>
      </c>
      <c r="J154" t="s">
        <v>66</v>
      </c>
      <c r="K154" t="s">
        <v>29</v>
      </c>
      <c r="L154">
        <v>3</v>
      </c>
      <c r="M154">
        <v>5.97</v>
      </c>
      <c r="N154">
        <v>0</v>
      </c>
      <c r="O154">
        <v>17.91</v>
      </c>
      <c r="P154" t="s">
        <v>40</v>
      </c>
      <c r="Q154" t="s">
        <v>31</v>
      </c>
      <c r="R154" t="s">
        <v>32</v>
      </c>
      <c r="S154" t="s">
        <v>49</v>
      </c>
      <c r="T154">
        <v>4</v>
      </c>
      <c r="U154" t="s">
        <v>34</v>
      </c>
    </row>
    <row r="155" spans="1:21" x14ac:dyDescent="0.3">
      <c r="A155">
        <v>1154</v>
      </c>
      <c r="B155" s="1">
        <v>46093</v>
      </c>
      <c r="C155" t="s">
        <v>21</v>
      </c>
      <c r="D155" t="s">
        <v>51</v>
      </c>
      <c r="E155" t="s">
        <v>23</v>
      </c>
      <c r="F155" t="s">
        <v>45</v>
      </c>
      <c r="G155" t="s">
        <v>158</v>
      </c>
      <c r="H155" t="s">
        <v>54</v>
      </c>
      <c r="I155" t="s">
        <v>47</v>
      </c>
      <c r="J155" t="s">
        <v>48</v>
      </c>
      <c r="K155" t="s">
        <v>200</v>
      </c>
      <c r="L155">
        <v>4</v>
      </c>
      <c r="M155">
        <v>18.12</v>
      </c>
      <c r="N155">
        <v>0</v>
      </c>
      <c r="O155">
        <v>72.48</v>
      </c>
      <c r="P155" t="s">
        <v>40</v>
      </c>
      <c r="Q155" t="s">
        <v>41</v>
      </c>
      <c r="R155" t="s">
        <v>32</v>
      </c>
      <c r="S155" t="s">
        <v>49</v>
      </c>
      <c r="T155">
        <v>5</v>
      </c>
      <c r="U155" t="s">
        <v>34</v>
      </c>
    </row>
    <row r="156" spans="1:21" x14ac:dyDescent="0.3">
      <c r="A156">
        <v>1155</v>
      </c>
      <c r="B156" s="1">
        <v>46049</v>
      </c>
      <c r="C156" t="s">
        <v>50</v>
      </c>
      <c r="D156" t="s">
        <v>51</v>
      </c>
      <c r="E156" t="s">
        <v>23</v>
      </c>
      <c r="F156" t="s">
        <v>59</v>
      </c>
      <c r="G156" t="s">
        <v>124</v>
      </c>
      <c r="H156" t="s">
        <v>38</v>
      </c>
      <c r="I156" t="s">
        <v>55</v>
      </c>
      <c r="J156" t="s">
        <v>111</v>
      </c>
      <c r="K156" t="s">
        <v>29</v>
      </c>
      <c r="L156">
        <v>2</v>
      </c>
      <c r="M156">
        <v>4.87</v>
      </c>
      <c r="N156">
        <v>0</v>
      </c>
      <c r="O156">
        <v>9.74</v>
      </c>
      <c r="P156" t="s">
        <v>58</v>
      </c>
      <c r="Q156" t="s">
        <v>41</v>
      </c>
      <c r="R156" t="s">
        <v>32</v>
      </c>
      <c r="S156" t="s">
        <v>49</v>
      </c>
      <c r="T156">
        <v>5</v>
      </c>
      <c r="U156" t="s">
        <v>34</v>
      </c>
    </row>
    <row r="157" spans="1:21" x14ac:dyDescent="0.3">
      <c r="A157">
        <v>1156</v>
      </c>
      <c r="B157" s="1">
        <v>46086</v>
      </c>
      <c r="C157" t="s">
        <v>21</v>
      </c>
      <c r="D157" t="s">
        <v>35</v>
      </c>
      <c r="E157" t="s">
        <v>23</v>
      </c>
      <c r="F157" t="s">
        <v>69</v>
      </c>
      <c r="G157" t="s">
        <v>173</v>
      </c>
      <c r="H157" t="s">
        <v>54</v>
      </c>
      <c r="I157" t="s">
        <v>89</v>
      </c>
      <c r="J157" t="s">
        <v>104</v>
      </c>
      <c r="K157" t="s">
        <v>200</v>
      </c>
      <c r="L157">
        <v>3</v>
      </c>
      <c r="M157">
        <v>5.39</v>
      </c>
      <c r="N157">
        <v>5</v>
      </c>
      <c r="O157">
        <v>15.36</v>
      </c>
      <c r="P157" t="s">
        <v>71</v>
      </c>
      <c r="Q157" t="s">
        <v>31</v>
      </c>
      <c r="R157" t="s">
        <v>32</v>
      </c>
      <c r="S157" t="s">
        <v>49</v>
      </c>
      <c r="T157">
        <v>3</v>
      </c>
      <c r="U157" t="s">
        <v>34</v>
      </c>
    </row>
    <row r="158" spans="1:21" x14ac:dyDescent="0.3">
      <c r="A158">
        <v>1157</v>
      </c>
      <c r="B158" s="1">
        <v>46092</v>
      </c>
      <c r="C158" t="s">
        <v>21</v>
      </c>
      <c r="D158" t="s">
        <v>22</v>
      </c>
      <c r="E158" t="s">
        <v>23</v>
      </c>
      <c r="F158" t="s">
        <v>59</v>
      </c>
      <c r="G158" t="s">
        <v>154</v>
      </c>
      <c r="H158" t="s">
        <v>54</v>
      </c>
      <c r="I158" t="s">
        <v>73</v>
      </c>
      <c r="J158" t="s">
        <v>74</v>
      </c>
      <c r="K158" t="s">
        <v>200</v>
      </c>
      <c r="L158">
        <v>1</v>
      </c>
      <c r="M158">
        <v>8.5500000000000007</v>
      </c>
      <c r="N158">
        <v>0</v>
      </c>
      <c r="O158">
        <v>8.5500000000000007</v>
      </c>
      <c r="P158" t="s">
        <v>58</v>
      </c>
      <c r="Q158" t="s">
        <v>31</v>
      </c>
      <c r="R158" t="s">
        <v>32</v>
      </c>
      <c r="S158" t="s">
        <v>33</v>
      </c>
      <c r="T158">
        <v>3</v>
      </c>
      <c r="U158" t="s">
        <v>34</v>
      </c>
    </row>
    <row r="159" spans="1:21" x14ac:dyDescent="0.3">
      <c r="A159">
        <v>1158</v>
      </c>
      <c r="B159" s="1">
        <v>46087</v>
      </c>
      <c r="C159" t="s">
        <v>21</v>
      </c>
      <c r="D159" t="s">
        <v>64</v>
      </c>
      <c r="E159" t="s">
        <v>23</v>
      </c>
      <c r="F159" t="s">
        <v>59</v>
      </c>
      <c r="G159" t="s">
        <v>167</v>
      </c>
      <c r="H159" t="s">
        <v>38</v>
      </c>
      <c r="I159" t="s">
        <v>55</v>
      </c>
      <c r="J159" t="s">
        <v>56</v>
      </c>
      <c r="K159" t="s">
        <v>57</v>
      </c>
      <c r="L159">
        <v>4</v>
      </c>
      <c r="M159">
        <v>6.19</v>
      </c>
      <c r="N159">
        <v>0</v>
      </c>
      <c r="O159">
        <v>24.76</v>
      </c>
      <c r="P159" t="s">
        <v>199</v>
      </c>
      <c r="Q159" t="s">
        <v>63</v>
      </c>
      <c r="R159" t="s">
        <v>34</v>
      </c>
      <c r="S159" t="s">
        <v>49</v>
      </c>
      <c r="T159">
        <v>3</v>
      </c>
      <c r="U159" t="s">
        <v>34</v>
      </c>
    </row>
    <row r="160" spans="1:21" x14ac:dyDescent="0.3">
      <c r="A160">
        <v>1159</v>
      </c>
      <c r="B160" s="1">
        <v>46087</v>
      </c>
      <c r="C160" t="s">
        <v>21</v>
      </c>
      <c r="D160" t="s">
        <v>64</v>
      </c>
      <c r="E160" t="s">
        <v>23</v>
      </c>
      <c r="F160" t="s">
        <v>83</v>
      </c>
      <c r="G160" t="s">
        <v>84</v>
      </c>
      <c r="H160" t="s">
        <v>54</v>
      </c>
      <c r="I160" t="s">
        <v>47</v>
      </c>
      <c r="J160" t="s">
        <v>68</v>
      </c>
      <c r="K160" t="s">
        <v>200</v>
      </c>
      <c r="L160">
        <v>1</v>
      </c>
      <c r="M160">
        <v>18.53</v>
      </c>
      <c r="N160">
        <v>10</v>
      </c>
      <c r="O160">
        <v>16.68</v>
      </c>
      <c r="P160" t="s">
        <v>199</v>
      </c>
      <c r="Q160" t="s">
        <v>41</v>
      </c>
      <c r="R160" t="s">
        <v>34</v>
      </c>
      <c r="S160" t="s">
        <v>49</v>
      </c>
      <c r="T160">
        <v>4</v>
      </c>
      <c r="U160" t="s">
        <v>32</v>
      </c>
    </row>
    <row r="161" spans="1:21" x14ac:dyDescent="0.3">
      <c r="A161">
        <v>1160</v>
      </c>
      <c r="B161" s="1">
        <v>46033</v>
      </c>
      <c r="C161" t="s">
        <v>50</v>
      </c>
      <c r="D161" t="s">
        <v>51</v>
      </c>
      <c r="E161" t="s">
        <v>23</v>
      </c>
      <c r="F161" t="s">
        <v>24</v>
      </c>
      <c r="G161" t="s">
        <v>85</v>
      </c>
      <c r="H161" t="s">
        <v>54</v>
      </c>
      <c r="I161" t="s">
        <v>81</v>
      </c>
      <c r="J161" t="s">
        <v>101</v>
      </c>
      <c r="K161" t="s">
        <v>200</v>
      </c>
      <c r="L161">
        <v>2</v>
      </c>
      <c r="M161">
        <v>4.59</v>
      </c>
      <c r="N161">
        <v>0</v>
      </c>
      <c r="O161">
        <v>9.18</v>
      </c>
      <c r="P161" t="s">
        <v>30</v>
      </c>
      <c r="Q161" t="s">
        <v>31</v>
      </c>
      <c r="R161" t="s">
        <v>34</v>
      </c>
      <c r="S161" t="s">
        <v>49</v>
      </c>
      <c r="T161">
        <v>5</v>
      </c>
      <c r="U161" t="s">
        <v>32</v>
      </c>
    </row>
    <row r="162" spans="1:21" x14ac:dyDescent="0.3">
      <c r="A162">
        <v>1161</v>
      </c>
      <c r="B162" s="1">
        <v>46093</v>
      </c>
      <c r="C162" t="s">
        <v>21</v>
      </c>
      <c r="D162" t="s">
        <v>64</v>
      </c>
      <c r="E162" t="s">
        <v>23</v>
      </c>
      <c r="F162" t="s">
        <v>24</v>
      </c>
      <c r="G162" t="s">
        <v>65</v>
      </c>
      <c r="H162" t="s">
        <v>54</v>
      </c>
      <c r="I162" t="s">
        <v>27</v>
      </c>
      <c r="J162" t="s">
        <v>79</v>
      </c>
      <c r="K162" t="s">
        <v>57</v>
      </c>
      <c r="L162">
        <v>2</v>
      </c>
      <c r="M162">
        <v>6.17</v>
      </c>
      <c r="N162">
        <v>5</v>
      </c>
      <c r="O162">
        <v>11.72</v>
      </c>
      <c r="P162" t="s">
        <v>30</v>
      </c>
      <c r="Q162" t="s">
        <v>31</v>
      </c>
      <c r="R162" t="s">
        <v>32</v>
      </c>
      <c r="S162" t="s">
        <v>49</v>
      </c>
      <c r="T162">
        <v>5</v>
      </c>
      <c r="U162" t="s">
        <v>34</v>
      </c>
    </row>
    <row r="163" spans="1:21" x14ac:dyDescent="0.3">
      <c r="A163">
        <v>1162</v>
      </c>
      <c r="B163" s="1">
        <v>46028</v>
      </c>
      <c r="C163" t="s">
        <v>50</v>
      </c>
      <c r="D163" t="s">
        <v>22</v>
      </c>
      <c r="E163" t="s">
        <v>23</v>
      </c>
      <c r="F163" t="s">
        <v>83</v>
      </c>
      <c r="G163" t="s">
        <v>25</v>
      </c>
      <c r="H163" t="s">
        <v>38</v>
      </c>
      <c r="I163" t="s">
        <v>89</v>
      </c>
      <c r="J163" t="s">
        <v>104</v>
      </c>
      <c r="K163" t="s">
        <v>200</v>
      </c>
      <c r="L163">
        <v>1</v>
      </c>
      <c r="M163">
        <v>4.8600000000000003</v>
      </c>
      <c r="N163">
        <v>0</v>
      </c>
      <c r="O163">
        <v>4.8600000000000003</v>
      </c>
      <c r="P163" t="s">
        <v>40</v>
      </c>
      <c r="Q163" t="s">
        <v>31</v>
      </c>
      <c r="R163" t="s">
        <v>34</v>
      </c>
      <c r="S163" t="s">
        <v>33</v>
      </c>
      <c r="T163">
        <v>3</v>
      </c>
      <c r="U163" t="s">
        <v>34</v>
      </c>
    </row>
    <row r="164" spans="1:21" x14ac:dyDescent="0.3">
      <c r="A164">
        <v>1163</v>
      </c>
      <c r="B164" s="1">
        <v>46095</v>
      </c>
      <c r="C164" t="s">
        <v>21</v>
      </c>
      <c r="D164" t="s">
        <v>64</v>
      </c>
      <c r="E164" t="s">
        <v>23</v>
      </c>
      <c r="F164" t="s">
        <v>91</v>
      </c>
      <c r="G164" t="s">
        <v>152</v>
      </c>
      <c r="H164" t="s">
        <v>38</v>
      </c>
      <c r="I164" t="s">
        <v>89</v>
      </c>
      <c r="J164" t="s">
        <v>104</v>
      </c>
      <c r="K164" t="s">
        <v>200</v>
      </c>
      <c r="L164">
        <v>4</v>
      </c>
      <c r="M164">
        <v>5.38</v>
      </c>
      <c r="N164">
        <v>0</v>
      </c>
      <c r="O164">
        <v>21.52</v>
      </c>
      <c r="P164" t="s">
        <v>40</v>
      </c>
      <c r="Q164" t="s">
        <v>31</v>
      </c>
      <c r="R164" t="s">
        <v>32</v>
      </c>
      <c r="S164" t="s">
        <v>49</v>
      </c>
      <c r="T164">
        <v>3</v>
      </c>
      <c r="U164" t="s">
        <v>32</v>
      </c>
    </row>
    <row r="165" spans="1:21" x14ac:dyDescent="0.3">
      <c r="A165">
        <v>1164</v>
      </c>
      <c r="B165" s="1">
        <v>46064</v>
      </c>
      <c r="C165" t="s">
        <v>42</v>
      </c>
      <c r="D165" t="s">
        <v>22</v>
      </c>
      <c r="E165" t="s">
        <v>23</v>
      </c>
      <c r="F165" t="s">
        <v>59</v>
      </c>
      <c r="G165" t="s">
        <v>116</v>
      </c>
      <c r="H165" t="s">
        <v>38</v>
      </c>
      <c r="I165" t="s">
        <v>89</v>
      </c>
      <c r="J165" t="s">
        <v>104</v>
      </c>
      <c r="K165" t="s">
        <v>200</v>
      </c>
      <c r="L165">
        <v>4</v>
      </c>
      <c r="M165">
        <v>5.14</v>
      </c>
      <c r="N165">
        <v>0</v>
      </c>
      <c r="O165">
        <v>20.56</v>
      </c>
      <c r="P165" t="s">
        <v>199</v>
      </c>
      <c r="Q165" t="s">
        <v>63</v>
      </c>
      <c r="R165" t="s">
        <v>34</v>
      </c>
      <c r="S165" t="s">
        <v>33</v>
      </c>
      <c r="T165">
        <v>3</v>
      </c>
      <c r="U165" t="s">
        <v>34</v>
      </c>
    </row>
    <row r="166" spans="1:21" x14ac:dyDescent="0.3">
      <c r="A166">
        <v>1165</v>
      </c>
      <c r="B166" s="1">
        <v>46054</v>
      </c>
      <c r="C166" t="s">
        <v>42</v>
      </c>
      <c r="D166" t="s">
        <v>22</v>
      </c>
      <c r="E166" t="s">
        <v>23</v>
      </c>
      <c r="F166" t="s">
        <v>91</v>
      </c>
      <c r="G166" t="s">
        <v>158</v>
      </c>
      <c r="H166" t="s">
        <v>38</v>
      </c>
      <c r="I166" t="s">
        <v>27</v>
      </c>
      <c r="J166" t="s">
        <v>28</v>
      </c>
      <c r="K166" t="s">
        <v>29</v>
      </c>
      <c r="L166">
        <v>4</v>
      </c>
      <c r="M166">
        <v>5.34</v>
      </c>
      <c r="N166">
        <v>0</v>
      </c>
      <c r="O166">
        <v>21.36</v>
      </c>
      <c r="P166" t="s">
        <v>30</v>
      </c>
      <c r="Q166" t="s">
        <v>31</v>
      </c>
      <c r="R166" t="s">
        <v>34</v>
      </c>
      <c r="S166" t="s">
        <v>49</v>
      </c>
      <c r="T166">
        <v>3</v>
      </c>
      <c r="U166" t="s">
        <v>34</v>
      </c>
    </row>
    <row r="167" spans="1:21" x14ac:dyDescent="0.3">
      <c r="A167">
        <v>1166</v>
      </c>
      <c r="B167" s="1">
        <v>46057</v>
      </c>
      <c r="C167" t="s">
        <v>42</v>
      </c>
      <c r="D167" t="s">
        <v>22</v>
      </c>
      <c r="E167" t="s">
        <v>23</v>
      </c>
      <c r="F167" t="s">
        <v>59</v>
      </c>
      <c r="G167" t="s">
        <v>174</v>
      </c>
      <c r="H167" t="s">
        <v>38</v>
      </c>
      <c r="I167" t="s">
        <v>61</v>
      </c>
      <c r="J167" t="s">
        <v>113</v>
      </c>
      <c r="K167" t="s">
        <v>29</v>
      </c>
      <c r="L167">
        <v>4</v>
      </c>
      <c r="M167">
        <v>6.1</v>
      </c>
      <c r="N167">
        <v>10</v>
      </c>
      <c r="O167">
        <v>21.96</v>
      </c>
      <c r="P167" t="s">
        <v>30</v>
      </c>
      <c r="Q167" t="s">
        <v>41</v>
      </c>
      <c r="R167" t="s">
        <v>32</v>
      </c>
      <c r="S167" t="s">
        <v>49</v>
      </c>
      <c r="T167">
        <v>3</v>
      </c>
      <c r="U167" t="s">
        <v>32</v>
      </c>
    </row>
    <row r="168" spans="1:21" x14ac:dyDescent="0.3">
      <c r="A168">
        <v>1167</v>
      </c>
      <c r="B168" s="1">
        <v>46024</v>
      </c>
      <c r="C168" t="s">
        <v>50</v>
      </c>
      <c r="D168" t="s">
        <v>51</v>
      </c>
      <c r="E168" t="s">
        <v>23</v>
      </c>
      <c r="F168" t="s">
        <v>52</v>
      </c>
      <c r="G168" t="s">
        <v>94</v>
      </c>
      <c r="H168" t="s">
        <v>26</v>
      </c>
      <c r="I168" t="s">
        <v>81</v>
      </c>
      <c r="J168" t="s">
        <v>101</v>
      </c>
      <c r="K168" t="s">
        <v>200</v>
      </c>
      <c r="L168">
        <v>1</v>
      </c>
      <c r="M168">
        <v>4.3499999999999996</v>
      </c>
      <c r="N168">
        <v>10</v>
      </c>
      <c r="O168">
        <v>3.91</v>
      </c>
      <c r="P168" t="s">
        <v>58</v>
      </c>
      <c r="Q168" t="s">
        <v>31</v>
      </c>
      <c r="R168" t="s">
        <v>34</v>
      </c>
      <c r="S168" t="s">
        <v>49</v>
      </c>
      <c r="T168">
        <v>4</v>
      </c>
      <c r="U168" t="s">
        <v>34</v>
      </c>
    </row>
    <row r="169" spans="1:21" x14ac:dyDescent="0.3">
      <c r="A169">
        <v>1168</v>
      </c>
      <c r="B169" s="1">
        <v>46086</v>
      </c>
      <c r="C169" t="s">
        <v>21</v>
      </c>
      <c r="D169" t="s">
        <v>77</v>
      </c>
      <c r="E169" t="s">
        <v>23</v>
      </c>
      <c r="F169" t="s">
        <v>91</v>
      </c>
      <c r="G169" t="s">
        <v>160</v>
      </c>
      <c r="H169" t="s">
        <v>38</v>
      </c>
      <c r="I169" t="s">
        <v>27</v>
      </c>
      <c r="J169" t="s">
        <v>168</v>
      </c>
      <c r="K169" t="s">
        <v>62</v>
      </c>
      <c r="L169">
        <v>3</v>
      </c>
      <c r="M169">
        <v>5.78</v>
      </c>
      <c r="N169">
        <v>5</v>
      </c>
      <c r="O169">
        <v>16.47</v>
      </c>
      <c r="P169" t="s">
        <v>40</v>
      </c>
      <c r="Q169" t="s">
        <v>63</v>
      </c>
      <c r="R169" t="s">
        <v>32</v>
      </c>
      <c r="S169" t="s">
        <v>49</v>
      </c>
      <c r="T169">
        <v>3</v>
      </c>
      <c r="U169" t="s">
        <v>34</v>
      </c>
    </row>
    <row r="170" spans="1:21" x14ac:dyDescent="0.3">
      <c r="A170">
        <v>1169</v>
      </c>
      <c r="B170" s="1">
        <v>46040</v>
      </c>
      <c r="C170" t="s">
        <v>50</v>
      </c>
      <c r="D170" t="s">
        <v>51</v>
      </c>
      <c r="E170" t="s">
        <v>23</v>
      </c>
      <c r="F170" t="s">
        <v>91</v>
      </c>
      <c r="G170" t="s">
        <v>116</v>
      </c>
      <c r="H170" t="s">
        <v>54</v>
      </c>
      <c r="I170" t="s">
        <v>27</v>
      </c>
      <c r="J170" t="s">
        <v>44</v>
      </c>
      <c r="K170" t="s">
        <v>62</v>
      </c>
      <c r="L170">
        <v>4</v>
      </c>
      <c r="M170">
        <v>6.12</v>
      </c>
      <c r="N170">
        <v>0</v>
      </c>
      <c r="O170">
        <v>24.48</v>
      </c>
      <c r="P170" t="s">
        <v>199</v>
      </c>
      <c r="Q170" t="s">
        <v>31</v>
      </c>
      <c r="R170" t="s">
        <v>34</v>
      </c>
      <c r="S170" t="s">
        <v>49</v>
      </c>
      <c r="T170">
        <v>3</v>
      </c>
      <c r="U170" t="s">
        <v>34</v>
      </c>
    </row>
    <row r="171" spans="1:21" x14ac:dyDescent="0.3">
      <c r="A171">
        <v>1170</v>
      </c>
      <c r="B171" s="1">
        <v>46084</v>
      </c>
      <c r="C171" t="s">
        <v>21</v>
      </c>
      <c r="D171" t="s">
        <v>51</v>
      </c>
      <c r="E171" t="s">
        <v>23</v>
      </c>
      <c r="F171" t="s">
        <v>83</v>
      </c>
      <c r="G171" t="s">
        <v>175</v>
      </c>
      <c r="H171" t="s">
        <v>26</v>
      </c>
      <c r="I171" t="s">
        <v>61</v>
      </c>
      <c r="J171" t="s">
        <v>66</v>
      </c>
      <c r="K171" t="s">
        <v>62</v>
      </c>
      <c r="L171">
        <v>3</v>
      </c>
      <c r="M171">
        <v>7.06</v>
      </c>
      <c r="N171">
        <v>5</v>
      </c>
      <c r="O171">
        <v>20.12</v>
      </c>
      <c r="P171" t="s">
        <v>71</v>
      </c>
      <c r="Q171" t="s">
        <v>41</v>
      </c>
      <c r="R171" t="s">
        <v>34</v>
      </c>
      <c r="S171" t="s">
        <v>33</v>
      </c>
      <c r="T171">
        <v>3</v>
      </c>
      <c r="U171" t="s">
        <v>34</v>
      </c>
    </row>
    <row r="172" spans="1:21" x14ac:dyDescent="0.3">
      <c r="A172">
        <v>1171</v>
      </c>
      <c r="B172" s="1">
        <v>46098</v>
      </c>
      <c r="C172" t="s">
        <v>21</v>
      </c>
      <c r="D172" t="s">
        <v>35</v>
      </c>
      <c r="E172" t="s">
        <v>23</v>
      </c>
      <c r="F172" t="s">
        <v>69</v>
      </c>
      <c r="G172" t="s">
        <v>176</v>
      </c>
      <c r="H172" t="s">
        <v>26</v>
      </c>
      <c r="I172" t="s">
        <v>61</v>
      </c>
      <c r="J172" t="s">
        <v>201</v>
      </c>
      <c r="K172" t="s">
        <v>57</v>
      </c>
      <c r="L172">
        <v>1</v>
      </c>
      <c r="M172">
        <v>7.96</v>
      </c>
      <c r="N172">
        <v>5</v>
      </c>
      <c r="O172">
        <v>7.56</v>
      </c>
      <c r="P172" t="s">
        <v>30</v>
      </c>
      <c r="Q172" t="s">
        <v>41</v>
      </c>
      <c r="R172" t="s">
        <v>34</v>
      </c>
      <c r="S172" t="s">
        <v>33</v>
      </c>
      <c r="T172">
        <v>4</v>
      </c>
      <c r="U172" t="s">
        <v>34</v>
      </c>
    </row>
    <row r="173" spans="1:21" x14ac:dyDescent="0.3">
      <c r="A173">
        <v>1172</v>
      </c>
      <c r="B173" s="1">
        <v>46053</v>
      </c>
      <c r="C173" t="s">
        <v>50</v>
      </c>
      <c r="D173" t="s">
        <v>51</v>
      </c>
      <c r="E173" t="s">
        <v>23</v>
      </c>
      <c r="F173" t="s">
        <v>69</v>
      </c>
      <c r="G173" t="s">
        <v>177</v>
      </c>
      <c r="H173" t="s">
        <v>26</v>
      </c>
      <c r="I173" t="s">
        <v>89</v>
      </c>
      <c r="J173" t="s">
        <v>90</v>
      </c>
      <c r="K173" t="s">
        <v>200</v>
      </c>
      <c r="L173">
        <v>4</v>
      </c>
      <c r="M173">
        <v>5.41</v>
      </c>
      <c r="N173">
        <v>0</v>
      </c>
      <c r="O173">
        <v>21.64</v>
      </c>
      <c r="P173" t="s">
        <v>199</v>
      </c>
      <c r="Q173" t="s">
        <v>63</v>
      </c>
      <c r="R173" t="s">
        <v>34</v>
      </c>
      <c r="S173" t="s">
        <v>33</v>
      </c>
      <c r="T173">
        <v>3</v>
      </c>
      <c r="U173" t="s">
        <v>34</v>
      </c>
    </row>
    <row r="174" spans="1:21" x14ac:dyDescent="0.3">
      <c r="A174">
        <v>1173</v>
      </c>
      <c r="B174" s="1">
        <v>46112</v>
      </c>
      <c r="C174" t="s">
        <v>21</v>
      </c>
      <c r="D174" t="s">
        <v>35</v>
      </c>
      <c r="E174" t="s">
        <v>23</v>
      </c>
      <c r="F174" t="s">
        <v>52</v>
      </c>
      <c r="G174" t="s">
        <v>178</v>
      </c>
      <c r="H174" t="s">
        <v>54</v>
      </c>
      <c r="I174" t="s">
        <v>73</v>
      </c>
      <c r="J174" t="s">
        <v>146</v>
      </c>
      <c r="K174" t="s">
        <v>200</v>
      </c>
      <c r="L174">
        <v>1</v>
      </c>
      <c r="M174">
        <v>7.8</v>
      </c>
      <c r="N174">
        <v>0</v>
      </c>
      <c r="O174">
        <v>7.8</v>
      </c>
      <c r="P174" t="s">
        <v>30</v>
      </c>
      <c r="Q174" t="s">
        <v>63</v>
      </c>
      <c r="R174" t="s">
        <v>34</v>
      </c>
      <c r="S174" t="s">
        <v>49</v>
      </c>
      <c r="T174">
        <v>5</v>
      </c>
      <c r="U174" t="s">
        <v>32</v>
      </c>
    </row>
    <row r="175" spans="1:21" x14ac:dyDescent="0.3">
      <c r="A175">
        <v>1174</v>
      </c>
      <c r="B175" s="1">
        <v>46036</v>
      </c>
      <c r="C175" t="s">
        <v>50</v>
      </c>
      <c r="D175" t="s">
        <v>22</v>
      </c>
      <c r="E175" t="s">
        <v>23</v>
      </c>
      <c r="F175" t="s">
        <v>52</v>
      </c>
      <c r="G175" t="s">
        <v>145</v>
      </c>
      <c r="H175" t="s">
        <v>38</v>
      </c>
      <c r="I175" t="s">
        <v>27</v>
      </c>
      <c r="J175" t="s">
        <v>28</v>
      </c>
      <c r="K175" t="s">
        <v>29</v>
      </c>
      <c r="L175">
        <v>2</v>
      </c>
      <c r="M175">
        <v>5.0999999999999996</v>
      </c>
      <c r="N175">
        <v>5</v>
      </c>
      <c r="O175">
        <v>9.69</v>
      </c>
      <c r="P175" t="s">
        <v>40</v>
      </c>
      <c r="Q175" t="s">
        <v>31</v>
      </c>
      <c r="R175" t="s">
        <v>34</v>
      </c>
      <c r="S175" t="s">
        <v>49</v>
      </c>
      <c r="T175">
        <v>3</v>
      </c>
      <c r="U175" t="s">
        <v>34</v>
      </c>
    </row>
    <row r="176" spans="1:21" x14ac:dyDescent="0.3">
      <c r="A176">
        <v>1175</v>
      </c>
      <c r="B176" s="1">
        <v>46037</v>
      </c>
      <c r="C176" t="s">
        <v>50</v>
      </c>
      <c r="D176" t="s">
        <v>77</v>
      </c>
      <c r="E176" t="s">
        <v>23</v>
      </c>
      <c r="F176" t="s">
        <v>91</v>
      </c>
      <c r="G176" t="s">
        <v>121</v>
      </c>
      <c r="H176" t="s">
        <v>38</v>
      </c>
      <c r="I176" t="s">
        <v>55</v>
      </c>
      <c r="J176" t="s">
        <v>111</v>
      </c>
      <c r="K176" t="s">
        <v>62</v>
      </c>
      <c r="L176">
        <v>4</v>
      </c>
      <c r="M176">
        <v>5.61</v>
      </c>
      <c r="N176">
        <v>10</v>
      </c>
      <c r="O176">
        <v>20.2</v>
      </c>
      <c r="P176" t="s">
        <v>40</v>
      </c>
      <c r="Q176" t="s">
        <v>63</v>
      </c>
      <c r="R176" t="s">
        <v>34</v>
      </c>
      <c r="S176" t="s">
        <v>49</v>
      </c>
      <c r="T176">
        <v>3</v>
      </c>
      <c r="U176" t="s">
        <v>34</v>
      </c>
    </row>
    <row r="177" spans="1:21" x14ac:dyDescent="0.3">
      <c r="A177">
        <v>1176</v>
      </c>
      <c r="B177" s="1">
        <v>46061</v>
      </c>
      <c r="C177" t="s">
        <v>42</v>
      </c>
      <c r="D177" t="s">
        <v>22</v>
      </c>
      <c r="E177" t="s">
        <v>23</v>
      </c>
      <c r="F177" t="s">
        <v>83</v>
      </c>
      <c r="G177" t="s">
        <v>118</v>
      </c>
      <c r="H177" t="s">
        <v>38</v>
      </c>
      <c r="I177" t="s">
        <v>47</v>
      </c>
      <c r="J177" t="s">
        <v>68</v>
      </c>
      <c r="K177" t="s">
        <v>200</v>
      </c>
      <c r="L177">
        <v>1</v>
      </c>
      <c r="M177">
        <v>18.46</v>
      </c>
      <c r="N177">
        <v>0</v>
      </c>
      <c r="O177">
        <v>18.46</v>
      </c>
      <c r="P177" t="s">
        <v>199</v>
      </c>
      <c r="Q177" t="s">
        <v>31</v>
      </c>
      <c r="R177" t="s">
        <v>34</v>
      </c>
      <c r="S177" t="s">
        <v>49</v>
      </c>
      <c r="T177">
        <v>4</v>
      </c>
      <c r="U177" t="s">
        <v>32</v>
      </c>
    </row>
    <row r="178" spans="1:21" x14ac:dyDescent="0.3">
      <c r="A178">
        <v>1177</v>
      </c>
      <c r="B178" s="1">
        <v>46052</v>
      </c>
      <c r="C178" t="s">
        <v>50</v>
      </c>
      <c r="D178" t="s">
        <v>64</v>
      </c>
      <c r="E178" t="s">
        <v>23</v>
      </c>
      <c r="F178" t="s">
        <v>36</v>
      </c>
      <c r="G178" t="s">
        <v>95</v>
      </c>
      <c r="H178" t="s">
        <v>54</v>
      </c>
      <c r="I178" t="s">
        <v>89</v>
      </c>
      <c r="J178" t="s">
        <v>90</v>
      </c>
      <c r="K178" t="s">
        <v>200</v>
      </c>
      <c r="L178">
        <v>2</v>
      </c>
      <c r="M178">
        <v>5.28</v>
      </c>
      <c r="N178">
        <v>5</v>
      </c>
      <c r="O178">
        <v>10.029999999999999</v>
      </c>
      <c r="P178" t="s">
        <v>58</v>
      </c>
      <c r="Q178" t="s">
        <v>41</v>
      </c>
      <c r="R178" t="s">
        <v>34</v>
      </c>
      <c r="S178" t="s">
        <v>49</v>
      </c>
      <c r="T178">
        <v>3</v>
      </c>
      <c r="U178" t="s">
        <v>34</v>
      </c>
    </row>
    <row r="179" spans="1:21" x14ac:dyDescent="0.3">
      <c r="A179">
        <v>1178</v>
      </c>
      <c r="B179" s="1">
        <v>46050</v>
      </c>
      <c r="C179" t="s">
        <v>50</v>
      </c>
      <c r="D179" t="s">
        <v>77</v>
      </c>
      <c r="E179" t="s">
        <v>23</v>
      </c>
      <c r="F179" t="s">
        <v>91</v>
      </c>
      <c r="G179" t="s">
        <v>175</v>
      </c>
      <c r="H179" t="s">
        <v>38</v>
      </c>
      <c r="I179" t="s">
        <v>55</v>
      </c>
      <c r="J179" t="s">
        <v>98</v>
      </c>
      <c r="K179" t="s">
        <v>29</v>
      </c>
      <c r="L179">
        <v>1</v>
      </c>
      <c r="M179">
        <v>4.92</v>
      </c>
      <c r="N179">
        <v>10</v>
      </c>
      <c r="O179">
        <v>4.43</v>
      </c>
      <c r="P179" t="s">
        <v>40</v>
      </c>
      <c r="Q179" t="s">
        <v>31</v>
      </c>
      <c r="R179" t="s">
        <v>34</v>
      </c>
      <c r="S179" t="s">
        <v>49</v>
      </c>
      <c r="T179">
        <v>4</v>
      </c>
      <c r="U179" t="s">
        <v>34</v>
      </c>
    </row>
    <row r="180" spans="1:21" x14ac:dyDescent="0.3">
      <c r="A180">
        <v>1179</v>
      </c>
      <c r="B180" s="1">
        <v>46099</v>
      </c>
      <c r="C180" t="s">
        <v>21</v>
      </c>
      <c r="D180" t="s">
        <v>64</v>
      </c>
      <c r="E180" t="s">
        <v>23</v>
      </c>
      <c r="F180" t="s">
        <v>52</v>
      </c>
      <c r="G180" t="s">
        <v>99</v>
      </c>
      <c r="H180" t="s">
        <v>54</v>
      </c>
      <c r="I180" t="s">
        <v>73</v>
      </c>
      <c r="J180" t="s">
        <v>137</v>
      </c>
      <c r="K180" t="s">
        <v>200</v>
      </c>
      <c r="L180">
        <v>1</v>
      </c>
      <c r="M180">
        <v>8.01</v>
      </c>
      <c r="N180">
        <v>5</v>
      </c>
      <c r="O180">
        <v>7.61</v>
      </c>
      <c r="P180" t="s">
        <v>71</v>
      </c>
      <c r="Q180" t="s">
        <v>63</v>
      </c>
      <c r="R180" t="s">
        <v>32</v>
      </c>
      <c r="S180" t="s">
        <v>33</v>
      </c>
      <c r="T180">
        <v>3</v>
      </c>
      <c r="U180" t="s">
        <v>34</v>
      </c>
    </row>
    <row r="181" spans="1:21" x14ac:dyDescent="0.3">
      <c r="A181">
        <v>1180</v>
      </c>
      <c r="B181" s="1">
        <v>46038</v>
      </c>
      <c r="C181" t="s">
        <v>50</v>
      </c>
      <c r="D181" t="s">
        <v>77</v>
      </c>
      <c r="E181" t="s">
        <v>23</v>
      </c>
      <c r="F181" t="s">
        <v>59</v>
      </c>
      <c r="G181" t="s">
        <v>72</v>
      </c>
      <c r="H181" t="s">
        <v>38</v>
      </c>
      <c r="I181" t="s">
        <v>55</v>
      </c>
      <c r="J181" t="s">
        <v>56</v>
      </c>
      <c r="K181" t="s">
        <v>29</v>
      </c>
      <c r="L181">
        <v>3</v>
      </c>
      <c r="M181">
        <v>4.82</v>
      </c>
      <c r="N181">
        <v>10</v>
      </c>
      <c r="O181">
        <v>13.01</v>
      </c>
      <c r="P181" t="s">
        <v>199</v>
      </c>
      <c r="Q181" t="s">
        <v>41</v>
      </c>
      <c r="R181" t="s">
        <v>34</v>
      </c>
      <c r="S181" t="s">
        <v>33</v>
      </c>
      <c r="T181">
        <v>3</v>
      </c>
      <c r="U181" t="s">
        <v>32</v>
      </c>
    </row>
    <row r="182" spans="1:21" x14ac:dyDescent="0.3">
      <c r="A182">
        <v>1181</v>
      </c>
      <c r="B182" s="1">
        <v>46104</v>
      </c>
      <c r="C182" t="s">
        <v>21</v>
      </c>
      <c r="D182" t="s">
        <v>35</v>
      </c>
      <c r="E182" t="s">
        <v>23</v>
      </c>
      <c r="F182" t="s">
        <v>91</v>
      </c>
      <c r="G182" t="s">
        <v>161</v>
      </c>
      <c r="H182" t="s">
        <v>26</v>
      </c>
      <c r="I182" t="s">
        <v>89</v>
      </c>
      <c r="J182" t="s">
        <v>90</v>
      </c>
      <c r="K182" t="s">
        <v>200</v>
      </c>
      <c r="L182">
        <v>2</v>
      </c>
      <c r="M182">
        <v>5.14</v>
      </c>
      <c r="N182">
        <v>0</v>
      </c>
      <c r="O182">
        <v>10.28</v>
      </c>
      <c r="P182" t="s">
        <v>199</v>
      </c>
      <c r="Q182" t="s">
        <v>31</v>
      </c>
      <c r="R182" t="s">
        <v>34</v>
      </c>
      <c r="S182" t="s">
        <v>33</v>
      </c>
      <c r="T182">
        <v>4</v>
      </c>
      <c r="U182" t="s">
        <v>32</v>
      </c>
    </row>
    <row r="183" spans="1:21" x14ac:dyDescent="0.3">
      <c r="A183">
        <v>1182</v>
      </c>
      <c r="B183" s="1">
        <v>46040</v>
      </c>
      <c r="C183" t="s">
        <v>50</v>
      </c>
      <c r="D183" t="s">
        <v>77</v>
      </c>
      <c r="E183" t="s">
        <v>23</v>
      </c>
      <c r="F183" t="s">
        <v>69</v>
      </c>
      <c r="G183" t="s">
        <v>110</v>
      </c>
      <c r="H183" t="s">
        <v>38</v>
      </c>
      <c r="I183" t="s">
        <v>47</v>
      </c>
      <c r="J183" t="s">
        <v>48</v>
      </c>
      <c r="K183" t="s">
        <v>200</v>
      </c>
      <c r="L183">
        <v>4</v>
      </c>
      <c r="M183">
        <v>18.07</v>
      </c>
      <c r="N183">
        <v>5</v>
      </c>
      <c r="O183">
        <v>68.67</v>
      </c>
      <c r="P183" t="s">
        <v>30</v>
      </c>
      <c r="Q183" t="s">
        <v>63</v>
      </c>
      <c r="R183" t="s">
        <v>32</v>
      </c>
      <c r="S183" t="s">
        <v>33</v>
      </c>
      <c r="T183">
        <v>3</v>
      </c>
      <c r="U183" t="s">
        <v>34</v>
      </c>
    </row>
    <row r="184" spans="1:21" x14ac:dyDescent="0.3">
      <c r="A184">
        <v>1183</v>
      </c>
      <c r="B184" s="1">
        <v>46027</v>
      </c>
      <c r="C184" t="s">
        <v>50</v>
      </c>
      <c r="D184" t="s">
        <v>51</v>
      </c>
      <c r="E184" t="s">
        <v>23</v>
      </c>
      <c r="F184" t="s">
        <v>24</v>
      </c>
      <c r="G184" t="s">
        <v>149</v>
      </c>
      <c r="H184" t="s">
        <v>38</v>
      </c>
      <c r="I184" t="s">
        <v>61</v>
      </c>
      <c r="J184" t="s">
        <v>201</v>
      </c>
      <c r="K184" t="s">
        <v>62</v>
      </c>
      <c r="L184">
        <v>2</v>
      </c>
      <c r="M184">
        <v>7.1</v>
      </c>
      <c r="N184">
        <v>10</v>
      </c>
      <c r="O184">
        <v>12.78</v>
      </c>
      <c r="P184" t="s">
        <v>71</v>
      </c>
      <c r="Q184" t="s">
        <v>63</v>
      </c>
      <c r="R184" t="s">
        <v>34</v>
      </c>
      <c r="S184" t="s">
        <v>33</v>
      </c>
      <c r="T184">
        <v>3</v>
      </c>
      <c r="U184" t="s">
        <v>32</v>
      </c>
    </row>
    <row r="185" spans="1:21" x14ac:dyDescent="0.3">
      <c r="A185">
        <v>1184</v>
      </c>
      <c r="B185" s="1">
        <v>46092</v>
      </c>
      <c r="C185" t="s">
        <v>21</v>
      </c>
      <c r="D185" t="s">
        <v>77</v>
      </c>
      <c r="E185" t="s">
        <v>23</v>
      </c>
      <c r="F185" t="s">
        <v>45</v>
      </c>
      <c r="G185" t="s">
        <v>145</v>
      </c>
      <c r="H185" t="s">
        <v>38</v>
      </c>
      <c r="I185" t="s">
        <v>81</v>
      </c>
      <c r="J185" t="s">
        <v>82</v>
      </c>
      <c r="K185" t="s">
        <v>200</v>
      </c>
      <c r="L185">
        <v>2</v>
      </c>
      <c r="M185">
        <v>3.97</v>
      </c>
      <c r="N185">
        <v>0</v>
      </c>
      <c r="O185">
        <v>7.94</v>
      </c>
      <c r="P185" t="s">
        <v>40</v>
      </c>
      <c r="Q185" t="s">
        <v>31</v>
      </c>
      <c r="R185" t="s">
        <v>32</v>
      </c>
      <c r="S185" t="s">
        <v>33</v>
      </c>
      <c r="T185">
        <v>3</v>
      </c>
      <c r="U185" t="s">
        <v>34</v>
      </c>
    </row>
    <row r="186" spans="1:21" x14ac:dyDescent="0.3">
      <c r="A186">
        <v>1185</v>
      </c>
      <c r="B186" s="1">
        <v>46101</v>
      </c>
      <c r="C186" t="s">
        <v>21</v>
      </c>
      <c r="D186" t="s">
        <v>64</v>
      </c>
      <c r="E186" t="s">
        <v>23</v>
      </c>
      <c r="F186" t="s">
        <v>91</v>
      </c>
      <c r="G186" t="s">
        <v>53</v>
      </c>
      <c r="H186" t="s">
        <v>26</v>
      </c>
      <c r="I186" t="s">
        <v>61</v>
      </c>
      <c r="J186" t="s">
        <v>201</v>
      </c>
      <c r="K186" t="s">
        <v>29</v>
      </c>
      <c r="L186">
        <v>2</v>
      </c>
      <c r="M186">
        <v>6.43</v>
      </c>
      <c r="N186">
        <v>0</v>
      </c>
      <c r="O186">
        <v>12.86</v>
      </c>
      <c r="P186" t="s">
        <v>199</v>
      </c>
      <c r="Q186" t="s">
        <v>63</v>
      </c>
      <c r="R186" t="s">
        <v>32</v>
      </c>
      <c r="S186" t="s">
        <v>49</v>
      </c>
      <c r="T186">
        <v>3</v>
      </c>
      <c r="U186" t="s">
        <v>34</v>
      </c>
    </row>
    <row r="187" spans="1:21" x14ac:dyDescent="0.3">
      <c r="A187">
        <v>1186</v>
      </c>
      <c r="B187" s="1">
        <v>46060</v>
      </c>
      <c r="C187" t="s">
        <v>42</v>
      </c>
      <c r="D187" t="s">
        <v>35</v>
      </c>
      <c r="E187" t="s">
        <v>23</v>
      </c>
      <c r="F187" t="s">
        <v>45</v>
      </c>
      <c r="G187" t="s">
        <v>130</v>
      </c>
      <c r="H187" t="s">
        <v>54</v>
      </c>
      <c r="I187" t="s">
        <v>55</v>
      </c>
      <c r="J187" t="s">
        <v>98</v>
      </c>
      <c r="K187" t="s">
        <v>57</v>
      </c>
      <c r="L187">
        <v>1</v>
      </c>
      <c r="M187">
        <v>5.72</v>
      </c>
      <c r="N187">
        <v>5</v>
      </c>
      <c r="O187">
        <v>5.43</v>
      </c>
      <c r="P187" t="s">
        <v>58</v>
      </c>
      <c r="Q187" t="s">
        <v>63</v>
      </c>
      <c r="R187" t="s">
        <v>32</v>
      </c>
      <c r="S187" t="s">
        <v>33</v>
      </c>
      <c r="T187">
        <v>3</v>
      </c>
      <c r="U187" t="s">
        <v>34</v>
      </c>
    </row>
    <row r="188" spans="1:21" x14ac:dyDescent="0.3">
      <c r="A188">
        <v>1187</v>
      </c>
      <c r="B188" s="1">
        <v>46064</v>
      </c>
      <c r="C188" t="s">
        <v>42</v>
      </c>
      <c r="D188" t="s">
        <v>77</v>
      </c>
      <c r="E188" t="s">
        <v>23</v>
      </c>
      <c r="F188" t="s">
        <v>59</v>
      </c>
      <c r="G188" t="s">
        <v>169</v>
      </c>
      <c r="H188" t="s">
        <v>38</v>
      </c>
      <c r="I188" t="s">
        <v>47</v>
      </c>
      <c r="J188" t="s">
        <v>48</v>
      </c>
      <c r="K188" t="s">
        <v>200</v>
      </c>
      <c r="L188">
        <v>4</v>
      </c>
      <c r="M188">
        <v>17.829999999999998</v>
      </c>
      <c r="N188">
        <v>0</v>
      </c>
      <c r="O188">
        <v>71.319999999999993</v>
      </c>
      <c r="P188" t="s">
        <v>30</v>
      </c>
      <c r="Q188" t="s">
        <v>41</v>
      </c>
      <c r="R188" t="s">
        <v>34</v>
      </c>
      <c r="S188" t="s">
        <v>49</v>
      </c>
      <c r="T188">
        <v>3</v>
      </c>
      <c r="U188" t="s">
        <v>32</v>
      </c>
    </row>
    <row r="189" spans="1:21" x14ac:dyDescent="0.3">
      <c r="A189">
        <v>1188</v>
      </c>
      <c r="B189" s="1">
        <v>46085</v>
      </c>
      <c r="C189" t="s">
        <v>21</v>
      </c>
      <c r="D189" t="s">
        <v>51</v>
      </c>
      <c r="E189" t="s">
        <v>23</v>
      </c>
      <c r="F189" t="s">
        <v>24</v>
      </c>
      <c r="G189" t="s">
        <v>103</v>
      </c>
      <c r="H189" t="s">
        <v>54</v>
      </c>
      <c r="I189" t="s">
        <v>73</v>
      </c>
      <c r="J189" t="s">
        <v>74</v>
      </c>
      <c r="K189" t="s">
        <v>200</v>
      </c>
      <c r="L189">
        <v>1</v>
      </c>
      <c r="M189">
        <v>8.36</v>
      </c>
      <c r="N189">
        <v>5</v>
      </c>
      <c r="O189">
        <v>7.94</v>
      </c>
      <c r="P189" t="s">
        <v>40</v>
      </c>
      <c r="Q189" t="s">
        <v>31</v>
      </c>
      <c r="R189" t="s">
        <v>34</v>
      </c>
      <c r="S189" t="s">
        <v>33</v>
      </c>
      <c r="T189">
        <v>5</v>
      </c>
      <c r="U189" t="s">
        <v>32</v>
      </c>
    </row>
    <row r="190" spans="1:21" x14ac:dyDescent="0.3">
      <c r="A190">
        <v>1189</v>
      </c>
      <c r="B190" s="1">
        <v>46057</v>
      </c>
      <c r="C190" t="s">
        <v>42</v>
      </c>
      <c r="D190" t="s">
        <v>51</v>
      </c>
      <c r="E190" t="s">
        <v>23</v>
      </c>
      <c r="F190" t="s">
        <v>69</v>
      </c>
      <c r="G190" t="s">
        <v>179</v>
      </c>
      <c r="H190" t="s">
        <v>26</v>
      </c>
      <c r="I190" t="s">
        <v>47</v>
      </c>
      <c r="J190" t="s">
        <v>48</v>
      </c>
      <c r="K190" t="s">
        <v>200</v>
      </c>
      <c r="L190">
        <v>3</v>
      </c>
      <c r="M190">
        <v>18.190000000000001</v>
      </c>
      <c r="N190">
        <v>0</v>
      </c>
      <c r="O190">
        <v>54.57</v>
      </c>
      <c r="P190" t="s">
        <v>30</v>
      </c>
      <c r="Q190" t="s">
        <v>31</v>
      </c>
      <c r="R190" t="s">
        <v>32</v>
      </c>
      <c r="S190" t="s">
        <v>49</v>
      </c>
      <c r="T190">
        <v>3</v>
      </c>
      <c r="U190" t="s">
        <v>34</v>
      </c>
    </row>
    <row r="191" spans="1:21" x14ac:dyDescent="0.3">
      <c r="A191">
        <v>1190</v>
      </c>
      <c r="B191" s="1">
        <v>46038</v>
      </c>
      <c r="C191" t="s">
        <v>50</v>
      </c>
      <c r="D191" t="s">
        <v>77</v>
      </c>
      <c r="E191" t="s">
        <v>23</v>
      </c>
      <c r="F191" t="s">
        <v>52</v>
      </c>
      <c r="G191" t="s">
        <v>97</v>
      </c>
      <c r="H191" t="s">
        <v>54</v>
      </c>
      <c r="I191" t="s">
        <v>81</v>
      </c>
      <c r="J191" t="s">
        <v>101</v>
      </c>
      <c r="K191" t="s">
        <v>200</v>
      </c>
      <c r="L191">
        <v>1</v>
      </c>
      <c r="M191">
        <v>4.59</v>
      </c>
      <c r="N191">
        <v>5</v>
      </c>
      <c r="O191">
        <v>4.3600000000000003</v>
      </c>
      <c r="P191" t="s">
        <v>71</v>
      </c>
      <c r="Q191" t="s">
        <v>31</v>
      </c>
      <c r="R191" t="s">
        <v>34</v>
      </c>
      <c r="S191" t="s">
        <v>33</v>
      </c>
      <c r="T191">
        <v>4</v>
      </c>
      <c r="U191" t="s">
        <v>34</v>
      </c>
    </row>
    <row r="192" spans="1:21" x14ac:dyDescent="0.3">
      <c r="A192">
        <v>1191</v>
      </c>
      <c r="B192" s="1">
        <v>46055</v>
      </c>
      <c r="C192" t="s">
        <v>42</v>
      </c>
      <c r="D192" t="s">
        <v>22</v>
      </c>
      <c r="E192" t="s">
        <v>23</v>
      </c>
      <c r="F192" t="s">
        <v>59</v>
      </c>
      <c r="G192" t="s">
        <v>85</v>
      </c>
      <c r="H192" t="s">
        <v>38</v>
      </c>
      <c r="I192" t="s">
        <v>55</v>
      </c>
      <c r="J192" t="s">
        <v>98</v>
      </c>
      <c r="K192" t="s">
        <v>57</v>
      </c>
      <c r="L192">
        <v>2</v>
      </c>
      <c r="M192">
        <v>5.65</v>
      </c>
      <c r="N192">
        <v>0</v>
      </c>
      <c r="O192">
        <v>11.3</v>
      </c>
      <c r="P192" t="s">
        <v>30</v>
      </c>
      <c r="Q192" t="s">
        <v>31</v>
      </c>
      <c r="R192" t="s">
        <v>32</v>
      </c>
      <c r="S192" t="s">
        <v>49</v>
      </c>
      <c r="T192">
        <v>4</v>
      </c>
      <c r="U192" t="s">
        <v>34</v>
      </c>
    </row>
    <row r="193" spans="1:21" x14ac:dyDescent="0.3">
      <c r="A193">
        <v>1192</v>
      </c>
      <c r="B193" s="1">
        <v>46039</v>
      </c>
      <c r="C193" t="s">
        <v>50</v>
      </c>
      <c r="D193" t="s">
        <v>35</v>
      </c>
      <c r="E193" t="s">
        <v>23</v>
      </c>
      <c r="F193" t="s">
        <v>59</v>
      </c>
      <c r="G193" t="s">
        <v>180</v>
      </c>
      <c r="H193" t="s">
        <v>38</v>
      </c>
      <c r="I193" t="s">
        <v>61</v>
      </c>
      <c r="J193" t="s">
        <v>201</v>
      </c>
      <c r="K193" t="s">
        <v>57</v>
      </c>
      <c r="L193">
        <v>4</v>
      </c>
      <c r="M193">
        <v>7.11</v>
      </c>
      <c r="N193">
        <v>0</v>
      </c>
      <c r="O193">
        <v>28.44</v>
      </c>
      <c r="P193" t="s">
        <v>40</v>
      </c>
      <c r="Q193" t="s">
        <v>31</v>
      </c>
      <c r="R193" t="s">
        <v>32</v>
      </c>
      <c r="S193" t="s">
        <v>49</v>
      </c>
      <c r="T193">
        <v>3</v>
      </c>
      <c r="U193" t="s">
        <v>34</v>
      </c>
    </row>
    <row r="194" spans="1:21" x14ac:dyDescent="0.3">
      <c r="A194">
        <v>1193</v>
      </c>
      <c r="B194" s="1">
        <v>46036</v>
      </c>
      <c r="C194" t="s">
        <v>50</v>
      </c>
      <c r="D194" t="s">
        <v>22</v>
      </c>
      <c r="E194" t="s">
        <v>23</v>
      </c>
      <c r="F194" t="s">
        <v>24</v>
      </c>
      <c r="G194" t="s">
        <v>134</v>
      </c>
      <c r="H194" t="s">
        <v>54</v>
      </c>
      <c r="I194" t="s">
        <v>55</v>
      </c>
      <c r="J194" t="s">
        <v>111</v>
      </c>
      <c r="K194" t="s">
        <v>62</v>
      </c>
      <c r="L194">
        <v>2</v>
      </c>
      <c r="M194">
        <v>5.24</v>
      </c>
      <c r="N194">
        <v>0</v>
      </c>
      <c r="O194">
        <v>10.48</v>
      </c>
      <c r="P194" t="s">
        <v>30</v>
      </c>
      <c r="Q194" t="s">
        <v>63</v>
      </c>
      <c r="R194" t="s">
        <v>32</v>
      </c>
      <c r="S194" t="s">
        <v>49</v>
      </c>
      <c r="T194">
        <v>4</v>
      </c>
      <c r="U194" t="s">
        <v>34</v>
      </c>
    </row>
    <row r="195" spans="1:21" x14ac:dyDescent="0.3">
      <c r="A195">
        <v>1194</v>
      </c>
      <c r="B195" s="1">
        <v>46050</v>
      </c>
      <c r="C195" t="s">
        <v>50</v>
      </c>
      <c r="D195" t="s">
        <v>77</v>
      </c>
      <c r="E195" t="s">
        <v>23</v>
      </c>
      <c r="F195" t="s">
        <v>52</v>
      </c>
      <c r="G195" t="s">
        <v>181</v>
      </c>
      <c r="H195" t="s">
        <v>38</v>
      </c>
      <c r="I195" t="s">
        <v>81</v>
      </c>
      <c r="J195" t="s">
        <v>140</v>
      </c>
      <c r="K195" t="s">
        <v>200</v>
      </c>
      <c r="L195">
        <v>4</v>
      </c>
      <c r="M195">
        <v>4.47</v>
      </c>
      <c r="N195">
        <v>0</v>
      </c>
      <c r="O195">
        <v>17.88</v>
      </c>
      <c r="P195" t="s">
        <v>199</v>
      </c>
      <c r="Q195" t="s">
        <v>63</v>
      </c>
      <c r="R195" t="s">
        <v>34</v>
      </c>
      <c r="S195" t="s">
        <v>49</v>
      </c>
      <c r="T195">
        <v>3</v>
      </c>
      <c r="U195" t="s">
        <v>32</v>
      </c>
    </row>
    <row r="196" spans="1:21" x14ac:dyDescent="0.3">
      <c r="A196">
        <v>1195</v>
      </c>
      <c r="B196" s="1">
        <v>46063</v>
      </c>
      <c r="C196" t="s">
        <v>42</v>
      </c>
      <c r="D196" t="s">
        <v>77</v>
      </c>
      <c r="E196" t="s">
        <v>23</v>
      </c>
      <c r="F196" t="s">
        <v>45</v>
      </c>
      <c r="G196" t="s">
        <v>115</v>
      </c>
      <c r="H196" t="s">
        <v>54</v>
      </c>
      <c r="I196" t="s">
        <v>61</v>
      </c>
      <c r="J196" t="s">
        <v>66</v>
      </c>
      <c r="K196" t="s">
        <v>57</v>
      </c>
      <c r="L196">
        <v>1</v>
      </c>
      <c r="M196">
        <v>7.32</v>
      </c>
      <c r="N196">
        <v>10</v>
      </c>
      <c r="O196">
        <v>6.59</v>
      </c>
      <c r="P196" t="s">
        <v>30</v>
      </c>
      <c r="Q196" t="s">
        <v>63</v>
      </c>
      <c r="R196" t="s">
        <v>34</v>
      </c>
      <c r="S196" t="s">
        <v>33</v>
      </c>
      <c r="T196">
        <v>3</v>
      </c>
      <c r="U196" t="s">
        <v>34</v>
      </c>
    </row>
    <row r="197" spans="1:21" x14ac:dyDescent="0.3">
      <c r="A197">
        <v>1196</v>
      </c>
      <c r="B197" s="1">
        <v>46073</v>
      </c>
      <c r="C197" t="s">
        <v>42</v>
      </c>
      <c r="D197" t="s">
        <v>51</v>
      </c>
      <c r="E197" t="s">
        <v>23</v>
      </c>
      <c r="F197" t="s">
        <v>69</v>
      </c>
      <c r="G197" t="s">
        <v>182</v>
      </c>
      <c r="H197" t="s">
        <v>54</v>
      </c>
      <c r="I197" t="s">
        <v>89</v>
      </c>
      <c r="J197" t="s">
        <v>90</v>
      </c>
      <c r="K197" t="s">
        <v>200</v>
      </c>
      <c r="L197">
        <v>2</v>
      </c>
      <c r="M197">
        <v>5.15</v>
      </c>
      <c r="N197">
        <v>0</v>
      </c>
      <c r="O197">
        <v>10.3</v>
      </c>
      <c r="P197" t="s">
        <v>30</v>
      </c>
      <c r="Q197" t="s">
        <v>63</v>
      </c>
      <c r="R197" t="s">
        <v>32</v>
      </c>
      <c r="S197" t="s">
        <v>49</v>
      </c>
      <c r="T197">
        <v>4</v>
      </c>
      <c r="U197" t="s">
        <v>34</v>
      </c>
    </row>
    <row r="198" spans="1:21" x14ac:dyDescent="0.3">
      <c r="A198">
        <v>1197</v>
      </c>
      <c r="B198" s="1">
        <v>46039</v>
      </c>
      <c r="C198" t="s">
        <v>50</v>
      </c>
      <c r="D198" t="s">
        <v>64</v>
      </c>
      <c r="E198" t="s">
        <v>23</v>
      </c>
      <c r="F198" t="s">
        <v>24</v>
      </c>
      <c r="G198" t="s">
        <v>183</v>
      </c>
      <c r="H198" t="s">
        <v>54</v>
      </c>
      <c r="I198" t="s">
        <v>47</v>
      </c>
      <c r="J198" t="s">
        <v>48</v>
      </c>
      <c r="K198" t="s">
        <v>200</v>
      </c>
      <c r="L198">
        <v>3</v>
      </c>
      <c r="M198">
        <v>18.190000000000001</v>
      </c>
      <c r="N198">
        <v>0</v>
      </c>
      <c r="O198">
        <v>54.57</v>
      </c>
      <c r="P198" t="s">
        <v>30</v>
      </c>
      <c r="Q198" t="s">
        <v>31</v>
      </c>
      <c r="R198" t="s">
        <v>34</v>
      </c>
      <c r="S198" t="s">
        <v>33</v>
      </c>
      <c r="T198">
        <v>3</v>
      </c>
      <c r="U198" t="s">
        <v>34</v>
      </c>
    </row>
    <row r="199" spans="1:21" x14ac:dyDescent="0.3">
      <c r="A199">
        <v>1198</v>
      </c>
      <c r="B199" s="1">
        <v>46030</v>
      </c>
      <c r="C199" t="s">
        <v>50</v>
      </c>
      <c r="D199" t="s">
        <v>64</v>
      </c>
      <c r="E199" t="s">
        <v>23</v>
      </c>
      <c r="F199" t="s">
        <v>52</v>
      </c>
      <c r="G199" t="s">
        <v>184</v>
      </c>
      <c r="H199" t="s">
        <v>38</v>
      </c>
      <c r="I199" t="s">
        <v>73</v>
      </c>
      <c r="J199" t="s">
        <v>137</v>
      </c>
      <c r="K199" t="s">
        <v>200</v>
      </c>
      <c r="L199">
        <v>4</v>
      </c>
      <c r="M199">
        <v>8.08</v>
      </c>
      <c r="N199">
        <v>5</v>
      </c>
      <c r="O199">
        <v>30.7</v>
      </c>
      <c r="P199" t="s">
        <v>71</v>
      </c>
      <c r="Q199" t="s">
        <v>31</v>
      </c>
      <c r="R199" t="s">
        <v>32</v>
      </c>
      <c r="S199" t="s">
        <v>33</v>
      </c>
      <c r="T199">
        <v>3</v>
      </c>
      <c r="U199" t="s">
        <v>34</v>
      </c>
    </row>
    <row r="200" spans="1:21" x14ac:dyDescent="0.3">
      <c r="A200">
        <v>1199</v>
      </c>
      <c r="B200" s="1">
        <v>46073</v>
      </c>
      <c r="C200" t="s">
        <v>42</v>
      </c>
      <c r="D200" t="s">
        <v>35</v>
      </c>
      <c r="E200" t="s">
        <v>23</v>
      </c>
      <c r="F200" t="s">
        <v>83</v>
      </c>
      <c r="G200" t="s">
        <v>128</v>
      </c>
      <c r="H200" t="s">
        <v>26</v>
      </c>
      <c r="I200" t="s">
        <v>89</v>
      </c>
      <c r="J200" t="s">
        <v>90</v>
      </c>
      <c r="K200" t="s">
        <v>200</v>
      </c>
      <c r="L200">
        <v>3</v>
      </c>
      <c r="M200">
        <v>5.33</v>
      </c>
      <c r="N200">
        <v>0</v>
      </c>
      <c r="O200">
        <v>15.99</v>
      </c>
      <c r="P200" t="s">
        <v>30</v>
      </c>
      <c r="Q200" t="s">
        <v>41</v>
      </c>
      <c r="R200" t="s">
        <v>32</v>
      </c>
      <c r="S200" t="s">
        <v>49</v>
      </c>
      <c r="T200">
        <v>3</v>
      </c>
      <c r="U200" t="s">
        <v>34</v>
      </c>
    </row>
    <row r="201" spans="1:21" x14ac:dyDescent="0.3">
      <c r="A201">
        <v>1200</v>
      </c>
      <c r="B201" s="1">
        <v>46038</v>
      </c>
      <c r="C201" t="s">
        <v>50</v>
      </c>
      <c r="D201" t="s">
        <v>22</v>
      </c>
      <c r="E201" t="s">
        <v>23</v>
      </c>
      <c r="F201" t="s">
        <v>45</v>
      </c>
      <c r="G201" t="s">
        <v>173</v>
      </c>
      <c r="H201" t="s">
        <v>26</v>
      </c>
      <c r="I201" t="s">
        <v>89</v>
      </c>
      <c r="J201" t="s">
        <v>90</v>
      </c>
      <c r="K201" t="s">
        <v>200</v>
      </c>
      <c r="L201">
        <v>1</v>
      </c>
      <c r="M201">
        <v>4.8499999999999996</v>
      </c>
      <c r="N201">
        <v>0</v>
      </c>
      <c r="O201">
        <v>4.8499999999999996</v>
      </c>
      <c r="P201" t="s">
        <v>58</v>
      </c>
      <c r="Q201" t="s">
        <v>63</v>
      </c>
      <c r="R201" t="s">
        <v>34</v>
      </c>
      <c r="S201" t="s">
        <v>33</v>
      </c>
      <c r="T201">
        <v>3</v>
      </c>
      <c r="U201" t="s">
        <v>34</v>
      </c>
    </row>
    <row r="202" spans="1:21" x14ac:dyDescent="0.3">
      <c r="A202">
        <v>1201</v>
      </c>
      <c r="B202" s="1">
        <v>46065</v>
      </c>
      <c r="C202" t="s">
        <v>42</v>
      </c>
      <c r="D202" t="s">
        <v>64</v>
      </c>
      <c r="E202" t="s">
        <v>23</v>
      </c>
      <c r="F202" t="s">
        <v>69</v>
      </c>
      <c r="G202" t="s">
        <v>136</v>
      </c>
      <c r="H202" t="s">
        <v>54</v>
      </c>
      <c r="I202" t="s">
        <v>55</v>
      </c>
      <c r="J202" t="s">
        <v>98</v>
      </c>
      <c r="K202" t="s">
        <v>29</v>
      </c>
      <c r="L202">
        <v>3</v>
      </c>
      <c r="M202">
        <v>4.84</v>
      </c>
      <c r="N202">
        <v>10</v>
      </c>
      <c r="O202">
        <v>13.07</v>
      </c>
      <c r="P202" t="s">
        <v>71</v>
      </c>
      <c r="Q202" t="s">
        <v>31</v>
      </c>
      <c r="R202" t="s">
        <v>34</v>
      </c>
      <c r="S202" t="s">
        <v>33</v>
      </c>
      <c r="T202">
        <v>3</v>
      </c>
      <c r="U202" t="s">
        <v>34</v>
      </c>
    </row>
    <row r="203" spans="1:21" x14ac:dyDescent="0.3">
      <c r="A203">
        <v>1202</v>
      </c>
      <c r="B203" s="1">
        <v>46043</v>
      </c>
      <c r="C203" t="s">
        <v>50</v>
      </c>
      <c r="D203" t="s">
        <v>51</v>
      </c>
      <c r="E203" t="s">
        <v>23</v>
      </c>
      <c r="F203" t="s">
        <v>36</v>
      </c>
      <c r="G203" t="s">
        <v>133</v>
      </c>
      <c r="H203" t="s">
        <v>38</v>
      </c>
      <c r="I203" t="s">
        <v>47</v>
      </c>
      <c r="J203" t="s">
        <v>68</v>
      </c>
      <c r="K203" t="s">
        <v>200</v>
      </c>
      <c r="L203">
        <v>1</v>
      </c>
      <c r="M203">
        <v>17.91</v>
      </c>
      <c r="N203">
        <v>10</v>
      </c>
      <c r="O203">
        <v>16.12</v>
      </c>
      <c r="P203" t="s">
        <v>58</v>
      </c>
      <c r="Q203" t="s">
        <v>31</v>
      </c>
      <c r="R203" t="s">
        <v>34</v>
      </c>
      <c r="S203" t="s">
        <v>49</v>
      </c>
      <c r="T203">
        <v>3</v>
      </c>
      <c r="U203" t="s">
        <v>32</v>
      </c>
    </row>
    <row r="204" spans="1:21" x14ac:dyDescent="0.3">
      <c r="A204">
        <v>1203</v>
      </c>
      <c r="B204" s="1">
        <v>46042</v>
      </c>
      <c r="C204" t="s">
        <v>50</v>
      </c>
      <c r="D204" t="s">
        <v>77</v>
      </c>
      <c r="E204" t="s">
        <v>23</v>
      </c>
      <c r="F204" t="s">
        <v>91</v>
      </c>
      <c r="G204" t="s">
        <v>60</v>
      </c>
      <c r="H204" t="s">
        <v>38</v>
      </c>
      <c r="I204" t="s">
        <v>47</v>
      </c>
      <c r="J204" t="s">
        <v>68</v>
      </c>
      <c r="K204" t="s">
        <v>200</v>
      </c>
      <c r="L204">
        <v>4</v>
      </c>
      <c r="M204">
        <v>17.899999999999999</v>
      </c>
      <c r="N204">
        <v>0</v>
      </c>
      <c r="O204">
        <v>71.599999999999994</v>
      </c>
      <c r="P204" t="s">
        <v>199</v>
      </c>
      <c r="Q204" t="s">
        <v>41</v>
      </c>
      <c r="R204" t="s">
        <v>32</v>
      </c>
      <c r="S204" t="s">
        <v>33</v>
      </c>
      <c r="T204">
        <v>3</v>
      </c>
      <c r="U204" t="s">
        <v>34</v>
      </c>
    </row>
    <row r="205" spans="1:21" x14ac:dyDescent="0.3">
      <c r="A205">
        <v>1204</v>
      </c>
      <c r="B205" s="1">
        <v>46051</v>
      </c>
      <c r="C205" t="s">
        <v>50</v>
      </c>
      <c r="D205" t="s">
        <v>35</v>
      </c>
      <c r="E205" t="s">
        <v>23</v>
      </c>
      <c r="F205" t="s">
        <v>24</v>
      </c>
      <c r="G205" t="s">
        <v>129</v>
      </c>
      <c r="H205" t="s">
        <v>26</v>
      </c>
      <c r="I205" t="s">
        <v>27</v>
      </c>
      <c r="J205" t="s">
        <v>44</v>
      </c>
      <c r="K205" t="s">
        <v>29</v>
      </c>
      <c r="L205">
        <v>4</v>
      </c>
      <c r="M205">
        <v>5.48</v>
      </c>
      <c r="N205">
        <v>0</v>
      </c>
      <c r="O205">
        <v>21.92</v>
      </c>
      <c r="P205" t="s">
        <v>30</v>
      </c>
      <c r="Q205" t="s">
        <v>41</v>
      </c>
      <c r="R205" t="s">
        <v>32</v>
      </c>
      <c r="S205" t="s">
        <v>49</v>
      </c>
      <c r="T205">
        <v>5</v>
      </c>
      <c r="U205" t="s">
        <v>34</v>
      </c>
    </row>
    <row r="206" spans="1:21" x14ac:dyDescent="0.3">
      <c r="A206">
        <v>1205</v>
      </c>
      <c r="B206" s="1">
        <v>46102</v>
      </c>
      <c r="C206" t="s">
        <v>21</v>
      </c>
      <c r="D206" t="s">
        <v>77</v>
      </c>
      <c r="E206" t="s">
        <v>23</v>
      </c>
      <c r="F206" t="s">
        <v>83</v>
      </c>
      <c r="G206" t="s">
        <v>122</v>
      </c>
      <c r="H206" t="s">
        <v>38</v>
      </c>
      <c r="I206" t="s">
        <v>81</v>
      </c>
      <c r="J206" t="s">
        <v>101</v>
      </c>
      <c r="K206" t="s">
        <v>200</v>
      </c>
      <c r="L206">
        <v>4</v>
      </c>
      <c r="M206">
        <v>4.5999999999999996</v>
      </c>
      <c r="N206">
        <v>0</v>
      </c>
      <c r="O206">
        <v>18.399999999999999</v>
      </c>
      <c r="P206" t="s">
        <v>40</v>
      </c>
      <c r="Q206" t="s">
        <v>31</v>
      </c>
      <c r="R206" t="s">
        <v>32</v>
      </c>
      <c r="S206" t="s">
        <v>49</v>
      </c>
      <c r="T206">
        <v>3</v>
      </c>
      <c r="U206" t="s">
        <v>34</v>
      </c>
    </row>
    <row r="207" spans="1:21" x14ac:dyDescent="0.3">
      <c r="A207">
        <v>1206</v>
      </c>
      <c r="B207" s="1">
        <v>46065</v>
      </c>
      <c r="C207" t="s">
        <v>42</v>
      </c>
      <c r="D207" t="s">
        <v>22</v>
      </c>
      <c r="E207" t="s">
        <v>23</v>
      </c>
      <c r="F207" t="s">
        <v>59</v>
      </c>
      <c r="G207" t="s">
        <v>110</v>
      </c>
      <c r="H207" t="s">
        <v>38</v>
      </c>
      <c r="I207" t="s">
        <v>47</v>
      </c>
      <c r="J207" t="s">
        <v>48</v>
      </c>
      <c r="K207" t="s">
        <v>200</v>
      </c>
      <c r="L207">
        <v>3</v>
      </c>
      <c r="M207">
        <v>17.79</v>
      </c>
      <c r="N207">
        <v>10</v>
      </c>
      <c r="O207">
        <v>48.03</v>
      </c>
      <c r="P207" t="s">
        <v>58</v>
      </c>
      <c r="Q207" t="s">
        <v>63</v>
      </c>
      <c r="R207" t="s">
        <v>34</v>
      </c>
      <c r="S207" t="s">
        <v>33</v>
      </c>
      <c r="T207">
        <v>4</v>
      </c>
      <c r="U207" t="s">
        <v>34</v>
      </c>
    </row>
    <row r="208" spans="1:21" x14ac:dyDescent="0.3">
      <c r="A208">
        <v>1207</v>
      </c>
      <c r="B208" s="1">
        <v>46052</v>
      </c>
      <c r="C208" t="s">
        <v>50</v>
      </c>
      <c r="D208" t="s">
        <v>35</v>
      </c>
      <c r="E208" t="s">
        <v>23</v>
      </c>
      <c r="F208" t="s">
        <v>24</v>
      </c>
      <c r="G208" t="s">
        <v>87</v>
      </c>
      <c r="H208" t="s">
        <v>38</v>
      </c>
      <c r="I208" t="s">
        <v>81</v>
      </c>
      <c r="J208" t="s">
        <v>140</v>
      </c>
      <c r="K208" t="s">
        <v>200</v>
      </c>
      <c r="L208">
        <v>3</v>
      </c>
      <c r="M208">
        <v>4.1100000000000003</v>
      </c>
      <c r="N208">
        <v>0</v>
      </c>
      <c r="O208">
        <v>12.33</v>
      </c>
      <c r="P208" t="s">
        <v>40</v>
      </c>
      <c r="Q208" t="s">
        <v>31</v>
      </c>
      <c r="R208" t="s">
        <v>32</v>
      </c>
      <c r="S208" t="s">
        <v>49</v>
      </c>
      <c r="T208">
        <v>3</v>
      </c>
      <c r="U208" t="s">
        <v>34</v>
      </c>
    </row>
    <row r="209" spans="1:21" x14ac:dyDescent="0.3">
      <c r="A209">
        <v>1208</v>
      </c>
      <c r="B209" s="1">
        <v>46053</v>
      </c>
      <c r="C209" t="s">
        <v>50</v>
      </c>
      <c r="D209" t="s">
        <v>51</v>
      </c>
      <c r="E209" t="s">
        <v>23</v>
      </c>
      <c r="F209" t="s">
        <v>24</v>
      </c>
      <c r="G209" t="s">
        <v>139</v>
      </c>
      <c r="H209" t="s">
        <v>38</v>
      </c>
      <c r="I209" t="s">
        <v>55</v>
      </c>
      <c r="J209" t="s">
        <v>111</v>
      </c>
      <c r="K209" t="s">
        <v>62</v>
      </c>
      <c r="L209">
        <v>3</v>
      </c>
      <c r="M209">
        <v>5.19</v>
      </c>
      <c r="N209">
        <v>0</v>
      </c>
      <c r="O209">
        <v>15.57</v>
      </c>
      <c r="P209" t="s">
        <v>58</v>
      </c>
      <c r="Q209" t="s">
        <v>63</v>
      </c>
      <c r="R209" t="s">
        <v>32</v>
      </c>
      <c r="S209" t="s">
        <v>33</v>
      </c>
      <c r="T209">
        <v>4</v>
      </c>
      <c r="U209" t="s">
        <v>34</v>
      </c>
    </row>
    <row r="210" spans="1:21" x14ac:dyDescent="0.3">
      <c r="A210">
        <v>1209</v>
      </c>
      <c r="B210" s="1">
        <v>46044</v>
      </c>
      <c r="C210" t="s">
        <v>50</v>
      </c>
      <c r="D210" t="s">
        <v>64</v>
      </c>
      <c r="E210" t="s">
        <v>23</v>
      </c>
      <c r="F210" t="s">
        <v>69</v>
      </c>
      <c r="G210" t="s">
        <v>123</v>
      </c>
      <c r="H210" t="s">
        <v>26</v>
      </c>
      <c r="I210" t="s">
        <v>81</v>
      </c>
      <c r="J210" t="s">
        <v>101</v>
      </c>
      <c r="K210" t="s">
        <v>200</v>
      </c>
      <c r="L210">
        <v>4</v>
      </c>
      <c r="M210">
        <v>3.81</v>
      </c>
      <c r="N210">
        <v>0</v>
      </c>
      <c r="O210">
        <v>15.24</v>
      </c>
      <c r="P210" t="s">
        <v>71</v>
      </c>
      <c r="Q210" t="s">
        <v>31</v>
      </c>
      <c r="R210" t="s">
        <v>32</v>
      </c>
      <c r="S210" t="s">
        <v>33</v>
      </c>
      <c r="T210">
        <v>4</v>
      </c>
      <c r="U210" t="s">
        <v>34</v>
      </c>
    </row>
    <row r="211" spans="1:21" x14ac:dyDescent="0.3">
      <c r="A211">
        <v>1210</v>
      </c>
      <c r="B211" s="1">
        <v>46112</v>
      </c>
      <c r="C211" t="s">
        <v>21</v>
      </c>
      <c r="D211" t="s">
        <v>35</v>
      </c>
      <c r="E211" t="s">
        <v>23</v>
      </c>
      <c r="F211" t="s">
        <v>59</v>
      </c>
      <c r="G211" t="s">
        <v>78</v>
      </c>
      <c r="H211" t="s">
        <v>38</v>
      </c>
      <c r="I211" t="s">
        <v>27</v>
      </c>
      <c r="J211" t="s">
        <v>168</v>
      </c>
      <c r="K211" t="s">
        <v>62</v>
      </c>
      <c r="L211">
        <v>2</v>
      </c>
      <c r="M211">
        <v>5.48</v>
      </c>
      <c r="N211">
        <v>0</v>
      </c>
      <c r="O211">
        <v>10.96</v>
      </c>
      <c r="P211" t="s">
        <v>71</v>
      </c>
      <c r="Q211" t="s">
        <v>41</v>
      </c>
      <c r="R211" t="s">
        <v>32</v>
      </c>
      <c r="S211" t="s">
        <v>33</v>
      </c>
      <c r="T211">
        <v>5</v>
      </c>
      <c r="U211" t="s">
        <v>32</v>
      </c>
    </row>
    <row r="212" spans="1:21" x14ac:dyDescent="0.3">
      <c r="A212">
        <v>1211</v>
      </c>
      <c r="B212" s="1">
        <v>46080</v>
      </c>
      <c r="C212" t="s">
        <v>42</v>
      </c>
      <c r="D212" t="s">
        <v>35</v>
      </c>
      <c r="E212" t="s">
        <v>23</v>
      </c>
      <c r="F212" t="s">
        <v>36</v>
      </c>
      <c r="G212" t="s">
        <v>141</v>
      </c>
      <c r="H212" t="s">
        <v>38</v>
      </c>
      <c r="I212" t="s">
        <v>89</v>
      </c>
      <c r="J212" t="s">
        <v>90</v>
      </c>
      <c r="K212" t="s">
        <v>200</v>
      </c>
      <c r="L212">
        <v>1</v>
      </c>
      <c r="M212">
        <v>5.12</v>
      </c>
      <c r="N212">
        <v>0</v>
      </c>
      <c r="O212">
        <v>5.12</v>
      </c>
      <c r="P212" t="s">
        <v>58</v>
      </c>
      <c r="Q212" t="s">
        <v>31</v>
      </c>
      <c r="R212" t="s">
        <v>34</v>
      </c>
      <c r="S212" t="s">
        <v>49</v>
      </c>
      <c r="T212">
        <v>3</v>
      </c>
      <c r="U212" t="s">
        <v>34</v>
      </c>
    </row>
    <row r="213" spans="1:21" x14ac:dyDescent="0.3">
      <c r="A213">
        <v>1212</v>
      </c>
      <c r="B213" s="1">
        <v>46097</v>
      </c>
      <c r="C213" t="s">
        <v>21</v>
      </c>
      <c r="D213" t="s">
        <v>35</v>
      </c>
      <c r="E213" t="s">
        <v>23</v>
      </c>
      <c r="F213" t="s">
        <v>24</v>
      </c>
      <c r="G213" t="s">
        <v>143</v>
      </c>
      <c r="H213" t="s">
        <v>26</v>
      </c>
      <c r="I213" t="s">
        <v>55</v>
      </c>
      <c r="J213" t="s">
        <v>56</v>
      </c>
      <c r="K213" t="s">
        <v>29</v>
      </c>
      <c r="L213">
        <v>1</v>
      </c>
      <c r="M213">
        <v>4.38</v>
      </c>
      <c r="N213">
        <v>5</v>
      </c>
      <c r="O213">
        <v>4.16</v>
      </c>
      <c r="P213" t="s">
        <v>30</v>
      </c>
      <c r="Q213" t="s">
        <v>31</v>
      </c>
      <c r="R213" t="s">
        <v>34</v>
      </c>
      <c r="S213" t="s">
        <v>33</v>
      </c>
      <c r="T213">
        <v>4</v>
      </c>
      <c r="U213" t="s">
        <v>34</v>
      </c>
    </row>
    <row r="214" spans="1:21" x14ac:dyDescent="0.3">
      <c r="A214">
        <v>1213</v>
      </c>
      <c r="B214" s="1">
        <v>46096</v>
      </c>
      <c r="C214" t="s">
        <v>21</v>
      </c>
      <c r="D214" t="s">
        <v>64</v>
      </c>
      <c r="E214" t="s">
        <v>23</v>
      </c>
      <c r="F214" t="s">
        <v>91</v>
      </c>
      <c r="G214" t="s">
        <v>185</v>
      </c>
      <c r="H214" t="s">
        <v>38</v>
      </c>
      <c r="I214" t="s">
        <v>47</v>
      </c>
      <c r="J214" t="s">
        <v>48</v>
      </c>
      <c r="K214" t="s">
        <v>200</v>
      </c>
      <c r="L214">
        <v>4</v>
      </c>
      <c r="M214">
        <v>17.73</v>
      </c>
      <c r="N214">
        <v>5</v>
      </c>
      <c r="O214">
        <v>67.37</v>
      </c>
      <c r="P214" t="s">
        <v>71</v>
      </c>
      <c r="Q214" t="s">
        <v>41</v>
      </c>
      <c r="R214" t="s">
        <v>34</v>
      </c>
      <c r="S214" t="s">
        <v>33</v>
      </c>
      <c r="T214">
        <v>4</v>
      </c>
      <c r="U214" t="s">
        <v>34</v>
      </c>
    </row>
    <row r="215" spans="1:21" x14ac:dyDescent="0.3">
      <c r="A215">
        <v>1214</v>
      </c>
      <c r="B215" s="1">
        <v>46101</v>
      </c>
      <c r="C215" t="s">
        <v>21</v>
      </c>
      <c r="D215" t="s">
        <v>35</v>
      </c>
      <c r="E215" t="s">
        <v>23</v>
      </c>
      <c r="F215" t="s">
        <v>36</v>
      </c>
      <c r="G215" t="s">
        <v>128</v>
      </c>
      <c r="H215" t="s">
        <v>26</v>
      </c>
      <c r="I215" t="s">
        <v>73</v>
      </c>
      <c r="J215" t="s">
        <v>74</v>
      </c>
      <c r="K215" t="s">
        <v>200</v>
      </c>
      <c r="L215">
        <v>3</v>
      </c>
      <c r="M215">
        <v>8.15</v>
      </c>
      <c r="N215">
        <v>10</v>
      </c>
      <c r="O215">
        <v>22.01</v>
      </c>
      <c r="P215" t="s">
        <v>40</v>
      </c>
      <c r="Q215" t="s">
        <v>31</v>
      </c>
      <c r="R215" t="s">
        <v>34</v>
      </c>
      <c r="S215" t="s">
        <v>33</v>
      </c>
      <c r="T215">
        <v>3</v>
      </c>
      <c r="U215" t="s">
        <v>34</v>
      </c>
    </row>
    <row r="216" spans="1:21" x14ac:dyDescent="0.3">
      <c r="A216">
        <v>1215</v>
      </c>
      <c r="B216" s="1">
        <v>46103</v>
      </c>
      <c r="C216" t="s">
        <v>21</v>
      </c>
      <c r="D216" t="s">
        <v>35</v>
      </c>
      <c r="E216" t="s">
        <v>23</v>
      </c>
      <c r="F216" t="s">
        <v>69</v>
      </c>
      <c r="G216" t="s">
        <v>145</v>
      </c>
      <c r="H216" t="s">
        <v>54</v>
      </c>
      <c r="I216" t="s">
        <v>47</v>
      </c>
      <c r="J216" t="s">
        <v>68</v>
      </c>
      <c r="K216" t="s">
        <v>200</v>
      </c>
      <c r="L216">
        <v>4</v>
      </c>
      <c r="M216">
        <v>18.399999999999999</v>
      </c>
      <c r="N216">
        <v>0</v>
      </c>
      <c r="O216">
        <v>73.599999999999994</v>
      </c>
      <c r="P216" t="s">
        <v>199</v>
      </c>
      <c r="Q216" t="s">
        <v>41</v>
      </c>
      <c r="R216" t="s">
        <v>34</v>
      </c>
      <c r="S216" t="s">
        <v>49</v>
      </c>
      <c r="T216">
        <v>3</v>
      </c>
      <c r="U216" t="s">
        <v>34</v>
      </c>
    </row>
    <row r="217" spans="1:21" x14ac:dyDescent="0.3">
      <c r="A217">
        <v>1216</v>
      </c>
      <c r="B217" s="1">
        <v>46026</v>
      </c>
      <c r="C217" t="s">
        <v>50</v>
      </c>
      <c r="D217" t="s">
        <v>51</v>
      </c>
      <c r="E217" t="s">
        <v>23</v>
      </c>
      <c r="F217" t="s">
        <v>69</v>
      </c>
      <c r="G217" t="s">
        <v>134</v>
      </c>
      <c r="H217" t="s">
        <v>26</v>
      </c>
      <c r="I217" t="s">
        <v>73</v>
      </c>
      <c r="J217" t="s">
        <v>74</v>
      </c>
      <c r="K217" t="s">
        <v>200</v>
      </c>
      <c r="L217">
        <v>1</v>
      </c>
      <c r="M217">
        <v>8.51</v>
      </c>
      <c r="N217">
        <v>0</v>
      </c>
      <c r="O217">
        <v>8.51</v>
      </c>
      <c r="P217" t="s">
        <v>199</v>
      </c>
      <c r="Q217" t="s">
        <v>31</v>
      </c>
      <c r="R217" t="s">
        <v>32</v>
      </c>
      <c r="S217" t="s">
        <v>33</v>
      </c>
      <c r="T217">
        <v>3</v>
      </c>
      <c r="U217" t="s">
        <v>34</v>
      </c>
    </row>
    <row r="218" spans="1:21" x14ac:dyDescent="0.3">
      <c r="A218">
        <v>1217</v>
      </c>
      <c r="B218" s="1">
        <v>46107</v>
      </c>
      <c r="C218" t="s">
        <v>21</v>
      </c>
      <c r="D218" t="s">
        <v>77</v>
      </c>
      <c r="E218" t="s">
        <v>23</v>
      </c>
      <c r="F218" t="s">
        <v>59</v>
      </c>
      <c r="G218" t="s">
        <v>186</v>
      </c>
      <c r="H218" t="s">
        <v>38</v>
      </c>
      <c r="I218" t="s">
        <v>55</v>
      </c>
      <c r="J218" t="s">
        <v>98</v>
      </c>
      <c r="K218" t="s">
        <v>57</v>
      </c>
      <c r="L218">
        <v>1</v>
      </c>
      <c r="M218">
        <v>6.29</v>
      </c>
      <c r="N218">
        <v>0</v>
      </c>
      <c r="O218">
        <v>6.29</v>
      </c>
      <c r="P218" t="s">
        <v>58</v>
      </c>
      <c r="Q218" t="s">
        <v>31</v>
      </c>
      <c r="R218" t="s">
        <v>34</v>
      </c>
      <c r="S218" t="s">
        <v>49</v>
      </c>
      <c r="T218">
        <v>3</v>
      </c>
      <c r="U218" t="s">
        <v>34</v>
      </c>
    </row>
    <row r="219" spans="1:21" x14ac:dyDescent="0.3">
      <c r="A219">
        <v>1218</v>
      </c>
      <c r="B219" s="1">
        <v>46112</v>
      </c>
      <c r="C219" t="s">
        <v>21</v>
      </c>
      <c r="D219" t="s">
        <v>51</v>
      </c>
      <c r="E219" t="s">
        <v>23</v>
      </c>
      <c r="F219" t="s">
        <v>45</v>
      </c>
      <c r="G219" t="s">
        <v>120</v>
      </c>
      <c r="H219" t="s">
        <v>26</v>
      </c>
      <c r="I219" t="s">
        <v>73</v>
      </c>
      <c r="J219" t="s">
        <v>146</v>
      </c>
      <c r="K219" t="s">
        <v>200</v>
      </c>
      <c r="L219">
        <v>2</v>
      </c>
      <c r="M219">
        <v>8.2100000000000009</v>
      </c>
      <c r="N219">
        <v>0</v>
      </c>
      <c r="O219">
        <v>16.420000000000002</v>
      </c>
      <c r="P219" t="s">
        <v>30</v>
      </c>
      <c r="Q219" t="s">
        <v>31</v>
      </c>
      <c r="R219" t="s">
        <v>32</v>
      </c>
      <c r="S219" t="s">
        <v>33</v>
      </c>
      <c r="T219">
        <v>3</v>
      </c>
      <c r="U219" t="s">
        <v>34</v>
      </c>
    </row>
    <row r="220" spans="1:21" x14ac:dyDescent="0.3">
      <c r="A220">
        <v>1219</v>
      </c>
      <c r="B220" s="1">
        <v>46025</v>
      </c>
      <c r="C220" t="s">
        <v>50</v>
      </c>
      <c r="D220" t="s">
        <v>35</v>
      </c>
      <c r="E220" t="s">
        <v>23</v>
      </c>
      <c r="F220" t="s">
        <v>91</v>
      </c>
      <c r="G220" t="s">
        <v>187</v>
      </c>
      <c r="H220" t="s">
        <v>38</v>
      </c>
      <c r="I220" t="s">
        <v>81</v>
      </c>
      <c r="J220" t="s">
        <v>82</v>
      </c>
      <c r="K220" t="s">
        <v>200</v>
      </c>
      <c r="L220">
        <v>3</v>
      </c>
      <c r="M220">
        <v>4.53</v>
      </c>
      <c r="N220">
        <v>0</v>
      </c>
      <c r="O220">
        <v>13.59</v>
      </c>
      <c r="P220" t="s">
        <v>71</v>
      </c>
      <c r="Q220" t="s">
        <v>31</v>
      </c>
      <c r="R220" t="s">
        <v>32</v>
      </c>
      <c r="S220" t="s">
        <v>33</v>
      </c>
      <c r="T220">
        <v>4</v>
      </c>
      <c r="U220" t="s">
        <v>34</v>
      </c>
    </row>
    <row r="221" spans="1:21" x14ac:dyDescent="0.3">
      <c r="A221">
        <v>1220</v>
      </c>
      <c r="B221" s="1">
        <v>46037</v>
      </c>
      <c r="C221" t="s">
        <v>50</v>
      </c>
      <c r="D221" t="s">
        <v>35</v>
      </c>
      <c r="E221" t="s">
        <v>23</v>
      </c>
      <c r="F221" t="s">
        <v>24</v>
      </c>
      <c r="G221" t="s">
        <v>188</v>
      </c>
      <c r="H221" t="s">
        <v>26</v>
      </c>
      <c r="I221" t="s">
        <v>47</v>
      </c>
      <c r="J221" t="s">
        <v>48</v>
      </c>
      <c r="K221" t="s">
        <v>200</v>
      </c>
      <c r="L221">
        <v>1</v>
      </c>
      <c r="M221">
        <v>18.04</v>
      </c>
      <c r="N221">
        <v>5</v>
      </c>
      <c r="O221">
        <v>17.14</v>
      </c>
      <c r="P221" t="s">
        <v>71</v>
      </c>
      <c r="Q221" t="s">
        <v>31</v>
      </c>
      <c r="R221" t="s">
        <v>32</v>
      </c>
      <c r="S221" t="s">
        <v>49</v>
      </c>
      <c r="T221">
        <v>3</v>
      </c>
      <c r="U221" t="s">
        <v>32</v>
      </c>
    </row>
    <row r="222" spans="1:21" x14ac:dyDescent="0.3">
      <c r="A222">
        <v>1221</v>
      </c>
      <c r="B222" s="1">
        <v>46106</v>
      </c>
      <c r="C222" t="s">
        <v>21</v>
      </c>
      <c r="D222" t="s">
        <v>51</v>
      </c>
      <c r="E222" t="s">
        <v>23</v>
      </c>
      <c r="F222" t="s">
        <v>59</v>
      </c>
      <c r="G222" t="s">
        <v>123</v>
      </c>
      <c r="H222" t="s">
        <v>54</v>
      </c>
      <c r="I222" t="s">
        <v>61</v>
      </c>
      <c r="J222" t="s">
        <v>201</v>
      </c>
      <c r="K222" t="s">
        <v>57</v>
      </c>
      <c r="L222">
        <v>3</v>
      </c>
      <c r="M222">
        <v>7.3</v>
      </c>
      <c r="N222">
        <v>10</v>
      </c>
      <c r="O222">
        <v>19.71</v>
      </c>
      <c r="P222" t="s">
        <v>71</v>
      </c>
      <c r="Q222" t="s">
        <v>31</v>
      </c>
      <c r="R222" t="s">
        <v>32</v>
      </c>
      <c r="S222" t="s">
        <v>33</v>
      </c>
      <c r="T222">
        <v>4</v>
      </c>
      <c r="U222" t="s">
        <v>32</v>
      </c>
    </row>
    <row r="223" spans="1:21" x14ac:dyDescent="0.3">
      <c r="A223">
        <v>1222</v>
      </c>
      <c r="B223" s="1">
        <v>46095</v>
      </c>
      <c r="C223" t="s">
        <v>21</v>
      </c>
      <c r="D223" t="s">
        <v>22</v>
      </c>
      <c r="E223" t="s">
        <v>23</v>
      </c>
      <c r="F223" t="s">
        <v>52</v>
      </c>
      <c r="G223" t="s">
        <v>189</v>
      </c>
      <c r="H223" t="s">
        <v>54</v>
      </c>
      <c r="I223" t="s">
        <v>61</v>
      </c>
      <c r="J223" t="s">
        <v>201</v>
      </c>
      <c r="K223" t="s">
        <v>62</v>
      </c>
      <c r="L223">
        <v>2</v>
      </c>
      <c r="M223">
        <v>6.98</v>
      </c>
      <c r="N223">
        <v>0</v>
      </c>
      <c r="O223">
        <v>13.96</v>
      </c>
      <c r="P223" t="s">
        <v>30</v>
      </c>
      <c r="Q223" t="s">
        <v>31</v>
      </c>
      <c r="R223" t="s">
        <v>34</v>
      </c>
      <c r="S223" t="s">
        <v>49</v>
      </c>
      <c r="T223">
        <v>3</v>
      </c>
      <c r="U223" t="s">
        <v>34</v>
      </c>
    </row>
    <row r="224" spans="1:21" x14ac:dyDescent="0.3">
      <c r="A224">
        <v>1223</v>
      </c>
      <c r="B224" s="1">
        <v>46104</v>
      </c>
      <c r="C224" t="s">
        <v>21</v>
      </c>
      <c r="D224" t="s">
        <v>22</v>
      </c>
      <c r="E224" t="s">
        <v>23</v>
      </c>
      <c r="F224" t="s">
        <v>24</v>
      </c>
      <c r="G224" t="s">
        <v>145</v>
      </c>
      <c r="H224" t="s">
        <v>26</v>
      </c>
      <c r="I224" t="s">
        <v>47</v>
      </c>
      <c r="J224" t="s">
        <v>48</v>
      </c>
      <c r="K224" t="s">
        <v>200</v>
      </c>
      <c r="L224">
        <v>4</v>
      </c>
      <c r="M224">
        <v>17.71</v>
      </c>
      <c r="N224">
        <v>0</v>
      </c>
      <c r="O224">
        <v>70.84</v>
      </c>
      <c r="P224" t="s">
        <v>30</v>
      </c>
      <c r="Q224" t="s">
        <v>63</v>
      </c>
      <c r="R224" t="s">
        <v>32</v>
      </c>
      <c r="S224" t="s">
        <v>33</v>
      </c>
      <c r="T224">
        <v>4</v>
      </c>
      <c r="U224" t="s">
        <v>32</v>
      </c>
    </row>
    <row r="225" spans="1:21" x14ac:dyDescent="0.3">
      <c r="A225">
        <v>1224</v>
      </c>
      <c r="B225" s="1">
        <v>46079</v>
      </c>
      <c r="C225" t="s">
        <v>42</v>
      </c>
      <c r="D225" t="s">
        <v>64</v>
      </c>
      <c r="E225" t="s">
        <v>23</v>
      </c>
      <c r="F225" t="s">
        <v>69</v>
      </c>
      <c r="G225" t="s">
        <v>179</v>
      </c>
      <c r="H225" t="s">
        <v>54</v>
      </c>
      <c r="I225" t="s">
        <v>61</v>
      </c>
      <c r="J225" t="s">
        <v>66</v>
      </c>
      <c r="K225" t="s">
        <v>62</v>
      </c>
      <c r="L225">
        <v>4</v>
      </c>
      <c r="M225">
        <v>6.72</v>
      </c>
      <c r="N225">
        <v>5</v>
      </c>
      <c r="O225">
        <v>25.54</v>
      </c>
      <c r="P225" t="s">
        <v>58</v>
      </c>
      <c r="Q225" t="s">
        <v>31</v>
      </c>
      <c r="R225" t="s">
        <v>34</v>
      </c>
      <c r="S225" t="s">
        <v>33</v>
      </c>
      <c r="T225">
        <v>3</v>
      </c>
      <c r="U225" t="s">
        <v>34</v>
      </c>
    </row>
    <row r="226" spans="1:21" x14ac:dyDescent="0.3">
      <c r="A226">
        <v>1225</v>
      </c>
      <c r="B226" s="1">
        <v>46060</v>
      </c>
      <c r="C226" t="s">
        <v>42</v>
      </c>
      <c r="D226" t="s">
        <v>22</v>
      </c>
      <c r="E226" t="s">
        <v>23</v>
      </c>
      <c r="F226" t="s">
        <v>24</v>
      </c>
      <c r="G226" t="s">
        <v>129</v>
      </c>
      <c r="H226" t="s">
        <v>38</v>
      </c>
      <c r="I226" t="s">
        <v>55</v>
      </c>
      <c r="J226" t="s">
        <v>111</v>
      </c>
      <c r="K226" t="s">
        <v>29</v>
      </c>
      <c r="L226">
        <v>1</v>
      </c>
      <c r="M226">
        <v>4.51</v>
      </c>
      <c r="N226">
        <v>5</v>
      </c>
      <c r="O226">
        <v>4.28</v>
      </c>
      <c r="P226" t="s">
        <v>71</v>
      </c>
      <c r="Q226" t="s">
        <v>63</v>
      </c>
      <c r="R226" t="s">
        <v>34</v>
      </c>
      <c r="S226" t="s">
        <v>33</v>
      </c>
      <c r="T226">
        <v>4</v>
      </c>
      <c r="U226" t="s">
        <v>32</v>
      </c>
    </row>
    <row r="227" spans="1:21" x14ac:dyDescent="0.3">
      <c r="A227">
        <v>1226</v>
      </c>
      <c r="B227" s="1">
        <v>46106</v>
      </c>
      <c r="C227" t="s">
        <v>21</v>
      </c>
      <c r="D227" t="s">
        <v>77</v>
      </c>
      <c r="E227" t="s">
        <v>23</v>
      </c>
      <c r="F227" t="s">
        <v>83</v>
      </c>
      <c r="G227" t="s">
        <v>190</v>
      </c>
      <c r="H227" t="s">
        <v>54</v>
      </c>
      <c r="I227" t="s">
        <v>73</v>
      </c>
      <c r="J227" t="s">
        <v>137</v>
      </c>
      <c r="K227" t="s">
        <v>200</v>
      </c>
      <c r="L227">
        <v>2</v>
      </c>
      <c r="M227">
        <v>7.75</v>
      </c>
      <c r="N227">
        <v>0</v>
      </c>
      <c r="O227">
        <v>15.5</v>
      </c>
      <c r="P227" t="s">
        <v>199</v>
      </c>
      <c r="Q227" t="s">
        <v>63</v>
      </c>
      <c r="R227" t="s">
        <v>34</v>
      </c>
      <c r="S227" t="s">
        <v>49</v>
      </c>
      <c r="T227">
        <v>4</v>
      </c>
      <c r="U227" t="s">
        <v>34</v>
      </c>
    </row>
    <row r="228" spans="1:21" x14ac:dyDescent="0.3">
      <c r="A228">
        <v>1227</v>
      </c>
      <c r="B228" s="1">
        <v>46053</v>
      </c>
      <c r="C228" t="s">
        <v>50</v>
      </c>
      <c r="D228" t="s">
        <v>22</v>
      </c>
      <c r="E228" t="s">
        <v>23</v>
      </c>
      <c r="F228" t="s">
        <v>59</v>
      </c>
      <c r="G228" t="s">
        <v>128</v>
      </c>
      <c r="H228" t="s">
        <v>26</v>
      </c>
      <c r="I228" t="s">
        <v>27</v>
      </c>
      <c r="J228" t="s">
        <v>44</v>
      </c>
      <c r="K228" t="s">
        <v>57</v>
      </c>
      <c r="L228">
        <v>4</v>
      </c>
      <c r="M228">
        <v>6.24</v>
      </c>
      <c r="N228">
        <v>0</v>
      </c>
      <c r="O228">
        <v>24.96</v>
      </c>
      <c r="P228" t="s">
        <v>199</v>
      </c>
      <c r="Q228" t="s">
        <v>41</v>
      </c>
      <c r="R228" t="s">
        <v>32</v>
      </c>
      <c r="S228" t="s">
        <v>33</v>
      </c>
      <c r="T228">
        <v>3</v>
      </c>
      <c r="U228" t="s">
        <v>34</v>
      </c>
    </row>
    <row r="229" spans="1:21" x14ac:dyDescent="0.3">
      <c r="A229">
        <v>1228</v>
      </c>
      <c r="B229" s="1">
        <v>46049</v>
      </c>
      <c r="C229" t="s">
        <v>50</v>
      </c>
      <c r="D229" t="s">
        <v>77</v>
      </c>
      <c r="E229" t="s">
        <v>23</v>
      </c>
      <c r="F229" t="s">
        <v>59</v>
      </c>
      <c r="G229" t="s">
        <v>121</v>
      </c>
      <c r="H229" t="s">
        <v>26</v>
      </c>
      <c r="I229" t="s">
        <v>89</v>
      </c>
      <c r="J229" t="s">
        <v>104</v>
      </c>
      <c r="K229" t="s">
        <v>200</v>
      </c>
      <c r="L229">
        <v>1</v>
      </c>
      <c r="M229">
        <v>5.13</v>
      </c>
      <c r="N229">
        <v>0</v>
      </c>
      <c r="O229">
        <v>5.13</v>
      </c>
      <c r="P229" t="s">
        <v>71</v>
      </c>
      <c r="Q229" t="s">
        <v>31</v>
      </c>
      <c r="R229" t="s">
        <v>34</v>
      </c>
      <c r="S229" t="s">
        <v>33</v>
      </c>
      <c r="T229">
        <v>5</v>
      </c>
      <c r="U229" t="s">
        <v>34</v>
      </c>
    </row>
    <row r="230" spans="1:21" x14ac:dyDescent="0.3">
      <c r="A230">
        <v>1229</v>
      </c>
      <c r="B230" s="1">
        <v>46071</v>
      </c>
      <c r="C230" t="s">
        <v>42</v>
      </c>
      <c r="D230" t="s">
        <v>51</v>
      </c>
      <c r="E230" t="s">
        <v>23</v>
      </c>
      <c r="F230" t="s">
        <v>45</v>
      </c>
      <c r="G230" t="s">
        <v>117</v>
      </c>
      <c r="H230" t="s">
        <v>38</v>
      </c>
      <c r="I230" t="s">
        <v>61</v>
      </c>
      <c r="J230" t="s">
        <v>66</v>
      </c>
      <c r="K230" t="s">
        <v>29</v>
      </c>
      <c r="L230">
        <v>3</v>
      </c>
      <c r="M230">
        <v>6.1</v>
      </c>
      <c r="N230">
        <v>0</v>
      </c>
      <c r="O230">
        <v>18.3</v>
      </c>
      <c r="P230" t="s">
        <v>58</v>
      </c>
      <c r="Q230" t="s">
        <v>63</v>
      </c>
      <c r="R230" t="s">
        <v>32</v>
      </c>
      <c r="S230" t="s">
        <v>33</v>
      </c>
      <c r="T230">
        <v>4</v>
      </c>
      <c r="U230" t="s">
        <v>34</v>
      </c>
    </row>
    <row r="231" spans="1:21" x14ac:dyDescent="0.3">
      <c r="A231">
        <v>1230</v>
      </c>
      <c r="B231" s="1">
        <v>46092</v>
      </c>
      <c r="C231" t="s">
        <v>21</v>
      </c>
      <c r="D231" t="s">
        <v>64</v>
      </c>
      <c r="E231" t="s">
        <v>23</v>
      </c>
      <c r="F231" t="s">
        <v>69</v>
      </c>
      <c r="G231" t="s">
        <v>149</v>
      </c>
      <c r="H231" t="s">
        <v>38</v>
      </c>
      <c r="I231" t="s">
        <v>47</v>
      </c>
      <c r="J231" t="s">
        <v>68</v>
      </c>
      <c r="K231" t="s">
        <v>200</v>
      </c>
      <c r="L231">
        <v>1</v>
      </c>
      <c r="M231">
        <v>18.46</v>
      </c>
      <c r="N231">
        <v>10</v>
      </c>
      <c r="O231">
        <v>16.61</v>
      </c>
      <c r="P231" t="s">
        <v>40</v>
      </c>
      <c r="Q231" t="s">
        <v>41</v>
      </c>
      <c r="R231" t="s">
        <v>32</v>
      </c>
      <c r="S231" t="s">
        <v>49</v>
      </c>
      <c r="T231">
        <v>3</v>
      </c>
      <c r="U231" t="s">
        <v>34</v>
      </c>
    </row>
    <row r="232" spans="1:21" x14ac:dyDescent="0.3">
      <c r="A232">
        <v>1231</v>
      </c>
      <c r="B232" s="1">
        <v>46087</v>
      </c>
      <c r="C232" t="s">
        <v>21</v>
      </c>
      <c r="D232" t="s">
        <v>35</v>
      </c>
      <c r="E232" t="s">
        <v>23</v>
      </c>
      <c r="F232" t="s">
        <v>52</v>
      </c>
      <c r="G232" t="s">
        <v>185</v>
      </c>
      <c r="H232" t="s">
        <v>38</v>
      </c>
      <c r="I232" t="s">
        <v>73</v>
      </c>
      <c r="J232" t="s">
        <v>146</v>
      </c>
      <c r="K232" t="s">
        <v>200</v>
      </c>
      <c r="L232">
        <v>2</v>
      </c>
      <c r="M232">
        <v>7.81</v>
      </c>
      <c r="N232">
        <v>5</v>
      </c>
      <c r="O232">
        <v>14.84</v>
      </c>
      <c r="P232" t="s">
        <v>58</v>
      </c>
      <c r="Q232" t="s">
        <v>31</v>
      </c>
      <c r="R232" t="s">
        <v>34</v>
      </c>
      <c r="S232" t="s">
        <v>33</v>
      </c>
      <c r="T232">
        <v>4</v>
      </c>
      <c r="U232" t="s">
        <v>32</v>
      </c>
    </row>
    <row r="233" spans="1:21" x14ac:dyDescent="0.3">
      <c r="A233">
        <v>1232</v>
      </c>
      <c r="B233" s="1">
        <v>46048</v>
      </c>
      <c r="C233" t="s">
        <v>50</v>
      </c>
      <c r="D233" t="s">
        <v>77</v>
      </c>
      <c r="E233" t="s">
        <v>23</v>
      </c>
      <c r="F233" t="s">
        <v>59</v>
      </c>
      <c r="G233" t="s">
        <v>165</v>
      </c>
      <c r="H233" t="s">
        <v>26</v>
      </c>
      <c r="I233" t="s">
        <v>47</v>
      </c>
      <c r="J233" t="s">
        <v>48</v>
      </c>
      <c r="K233" t="s">
        <v>200</v>
      </c>
      <c r="L233">
        <v>3</v>
      </c>
      <c r="M233">
        <v>18.52</v>
      </c>
      <c r="N233">
        <v>0</v>
      </c>
      <c r="O233">
        <v>55.56</v>
      </c>
      <c r="P233" t="s">
        <v>199</v>
      </c>
      <c r="Q233" t="s">
        <v>41</v>
      </c>
      <c r="R233" t="s">
        <v>34</v>
      </c>
      <c r="S233" t="s">
        <v>49</v>
      </c>
      <c r="T233">
        <v>3</v>
      </c>
      <c r="U233" t="s">
        <v>34</v>
      </c>
    </row>
    <row r="234" spans="1:21" x14ac:dyDescent="0.3">
      <c r="A234">
        <v>1233</v>
      </c>
      <c r="B234" s="1">
        <v>46112</v>
      </c>
      <c r="C234" t="s">
        <v>21</v>
      </c>
      <c r="D234" t="s">
        <v>35</v>
      </c>
      <c r="E234" t="s">
        <v>23</v>
      </c>
      <c r="F234" t="s">
        <v>24</v>
      </c>
      <c r="G234" t="s">
        <v>92</v>
      </c>
      <c r="H234" t="s">
        <v>38</v>
      </c>
      <c r="I234" t="s">
        <v>73</v>
      </c>
      <c r="J234" t="s">
        <v>146</v>
      </c>
      <c r="K234" t="s">
        <v>200</v>
      </c>
      <c r="L234">
        <v>4</v>
      </c>
      <c r="M234">
        <v>7.8</v>
      </c>
      <c r="N234">
        <v>0</v>
      </c>
      <c r="O234">
        <v>31.2</v>
      </c>
      <c r="P234" t="s">
        <v>199</v>
      </c>
      <c r="Q234" t="s">
        <v>31</v>
      </c>
      <c r="R234" t="s">
        <v>34</v>
      </c>
      <c r="S234" t="s">
        <v>49</v>
      </c>
      <c r="T234">
        <v>4</v>
      </c>
      <c r="U234" t="s">
        <v>32</v>
      </c>
    </row>
    <row r="235" spans="1:21" x14ac:dyDescent="0.3">
      <c r="A235">
        <v>1234</v>
      </c>
      <c r="B235" s="1">
        <v>46056</v>
      </c>
      <c r="C235" t="s">
        <v>42</v>
      </c>
      <c r="D235" t="s">
        <v>64</v>
      </c>
      <c r="E235" t="s">
        <v>23</v>
      </c>
      <c r="F235" t="s">
        <v>52</v>
      </c>
      <c r="G235" t="s">
        <v>88</v>
      </c>
      <c r="H235" t="s">
        <v>54</v>
      </c>
      <c r="I235" t="s">
        <v>89</v>
      </c>
      <c r="J235" t="s">
        <v>104</v>
      </c>
      <c r="K235" t="s">
        <v>200</v>
      </c>
      <c r="L235">
        <v>4</v>
      </c>
      <c r="M235">
        <v>4.7300000000000004</v>
      </c>
      <c r="N235">
        <v>0</v>
      </c>
      <c r="O235">
        <v>18.920000000000002</v>
      </c>
      <c r="P235" t="s">
        <v>40</v>
      </c>
      <c r="Q235" t="s">
        <v>31</v>
      </c>
      <c r="R235" t="s">
        <v>34</v>
      </c>
      <c r="S235" t="s">
        <v>49</v>
      </c>
      <c r="T235">
        <v>3</v>
      </c>
      <c r="U235" t="s">
        <v>34</v>
      </c>
    </row>
    <row r="236" spans="1:21" x14ac:dyDescent="0.3">
      <c r="A236">
        <v>1235</v>
      </c>
      <c r="B236" s="1">
        <v>46029</v>
      </c>
      <c r="C236" t="s">
        <v>50</v>
      </c>
      <c r="D236" t="s">
        <v>64</v>
      </c>
      <c r="E236" t="s">
        <v>23</v>
      </c>
      <c r="F236" t="s">
        <v>45</v>
      </c>
      <c r="G236" t="s">
        <v>161</v>
      </c>
      <c r="H236" t="s">
        <v>26</v>
      </c>
      <c r="I236" t="s">
        <v>55</v>
      </c>
      <c r="J236" t="s">
        <v>111</v>
      </c>
      <c r="K236" t="s">
        <v>29</v>
      </c>
      <c r="L236">
        <v>3</v>
      </c>
      <c r="M236">
        <v>4.9400000000000004</v>
      </c>
      <c r="N236">
        <v>0</v>
      </c>
      <c r="O236">
        <v>14.82</v>
      </c>
      <c r="P236" t="s">
        <v>30</v>
      </c>
      <c r="Q236" t="s">
        <v>31</v>
      </c>
      <c r="R236" t="s">
        <v>32</v>
      </c>
      <c r="S236" t="s">
        <v>49</v>
      </c>
      <c r="T236">
        <v>5</v>
      </c>
      <c r="U236" t="s">
        <v>32</v>
      </c>
    </row>
    <row r="237" spans="1:21" x14ac:dyDescent="0.3">
      <c r="A237">
        <v>1236</v>
      </c>
      <c r="B237" s="1">
        <v>46064</v>
      </c>
      <c r="C237" t="s">
        <v>42</v>
      </c>
      <c r="D237" t="s">
        <v>51</v>
      </c>
      <c r="E237" t="s">
        <v>23</v>
      </c>
      <c r="F237" t="s">
        <v>69</v>
      </c>
      <c r="G237" t="s">
        <v>37</v>
      </c>
      <c r="H237" t="s">
        <v>54</v>
      </c>
      <c r="I237" t="s">
        <v>89</v>
      </c>
      <c r="J237" t="s">
        <v>104</v>
      </c>
      <c r="K237" t="s">
        <v>200</v>
      </c>
      <c r="L237">
        <v>1</v>
      </c>
      <c r="M237">
        <v>4.87</v>
      </c>
      <c r="N237">
        <v>0</v>
      </c>
      <c r="O237">
        <v>4.87</v>
      </c>
      <c r="P237" t="s">
        <v>71</v>
      </c>
      <c r="Q237" t="s">
        <v>31</v>
      </c>
      <c r="R237" t="s">
        <v>32</v>
      </c>
      <c r="S237" t="s">
        <v>33</v>
      </c>
      <c r="T237">
        <v>3</v>
      </c>
      <c r="U237" t="s">
        <v>34</v>
      </c>
    </row>
    <row r="238" spans="1:21" x14ac:dyDescent="0.3">
      <c r="A238">
        <v>1237</v>
      </c>
      <c r="B238" s="1">
        <v>46087</v>
      </c>
      <c r="C238" t="s">
        <v>21</v>
      </c>
      <c r="D238" t="s">
        <v>64</v>
      </c>
      <c r="E238" t="s">
        <v>23</v>
      </c>
      <c r="F238" t="s">
        <v>83</v>
      </c>
      <c r="G238" t="s">
        <v>156</v>
      </c>
      <c r="H238" t="s">
        <v>26</v>
      </c>
      <c r="I238" t="s">
        <v>61</v>
      </c>
      <c r="J238" t="s">
        <v>201</v>
      </c>
      <c r="K238" t="s">
        <v>57</v>
      </c>
      <c r="L238">
        <v>1</v>
      </c>
      <c r="M238">
        <v>7.26</v>
      </c>
      <c r="N238">
        <v>0</v>
      </c>
      <c r="O238">
        <v>7.26</v>
      </c>
      <c r="P238" t="s">
        <v>30</v>
      </c>
      <c r="Q238" t="s">
        <v>41</v>
      </c>
      <c r="R238" t="s">
        <v>32</v>
      </c>
      <c r="S238" t="s">
        <v>49</v>
      </c>
      <c r="T238">
        <v>3</v>
      </c>
      <c r="U238" t="s">
        <v>34</v>
      </c>
    </row>
    <row r="239" spans="1:21" x14ac:dyDescent="0.3">
      <c r="A239">
        <v>1238</v>
      </c>
      <c r="B239" s="1">
        <v>46082</v>
      </c>
      <c r="C239" t="s">
        <v>21</v>
      </c>
      <c r="D239" t="s">
        <v>35</v>
      </c>
      <c r="E239" t="s">
        <v>23</v>
      </c>
      <c r="F239" t="s">
        <v>69</v>
      </c>
      <c r="G239" t="s">
        <v>72</v>
      </c>
      <c r="H239" t="s">
        <v>26</v>
      </c>
      <c r="I239" t="s">
        <v>81</v>
      </c>
      <c r="J239" t="s">
        <v>140</v>
      </c>
      <c r="K239" t="s">
        <v>200</v>
      </c>
      <c r="L239">
        <v>1</v>
      </c>
      <c r="M239">
        <v>4.3099999999999996</v>
      </c>
      <c r="N239">
        <v>0</v>
      </c>
      <c r="O239">
        <v>4.3099999999999996</v>
      </c>
      <c r="P239" t="s">
        <v>58</v>
      </c>
      <c r="Q239" t="s">
        <v>41</v>
      </c>
      <c r="R239" t="s">
        <v>34</v>
      </c>
      <c r="S239" t="s">
        <v>49</v>
      </c>
      <c r="T239">
        <v>5</v>
      </c>
      <c r="U239" t="s">
        <v>34</v>
      </c>
    </row>
    <row r="240" spans="1:21" x14ac:dyDescent="0.3">
      <c r="A240">
        <v>1239</v>
      </c>
      <c r="B240" s="1">
        <v>46056</v>
      </c>
      <c r="C240" t="s">
        <v>42</v>
      </c>
      <c r="D240" t="s">
        <v>22</v>
      </c>
      <c r="E240" t="s">
        <v>23</v>
      </c>
      <c r="F240" t="s">
        <v>83</v>
      </c>
      <c r="G240" t="s">
        <v>178</v>
      </c>
      <c r="H240" t="s">
        <v>38</v>
      </c>
      <c r="I240" t="s">
        <v>55</v>
      </c>
      <c r="J240" t="s">
        <v>56</v>
      </c>
      <c r="K240" t="s">
        <v>62</v>
      </c>
      <c r="L240">
        <v>1</v>
      </c>
      <c r="M240">
        <v>5.05</v>
      </c>
      <c r="N240">
        <v>10</v>
      </c>
      <c r="O240">
        <v>4.54</v>
      </c>
      <c r="P240" t="s">
        <v>58</v>
      </c>
      <c r="Q240" t="s">
        <v>41</v>
      </c>
      <c r="R240" t="s">
        <v>34</v>
      </c>
      <c r="S240" t="s">
        <v>33</v>
      </c>
      <c r="T240">
        <v>4</v>
      </c>
      <c r="U240" t="s">
        <v>34</v>
      </c>
    </row>
    <row r="241" spans="1:21" x14ac:dyDescent="0.3">
      <c r="A241">
        <v>1240</v>
      </c>
      <c r="B241" s="1">
        <v>46083</v>
      </c>
      <c r="C241" t="s">
        <v>21</v>
      </c>
      <c r="D241" t="s">
        <v>77</v>
      </c>
      <c r="E241" t="s">
        <v>23</v>
      </c>
      <c r="F241" t="s">
        <v>45</v>
      </c>
      <c r="G241" t="s">
        <v>191</v>
      </c>
      <c r="H241" t="s">
        <v>26</v>
      </c>
      <c r="I241" t="s">
        <v>89</v>
      </c>
      <c r="J241" t="s">
        <v>90</v>
      </c>
      <c r="K241" t="s">
        <v>200</v>
      </c>
      <c r="L241">
        <v>1</v>
      </c>
      <c r="M241">
        <v>4.9000000000000004</v>
      </c>
      <c r="N241">
        <v>10</v>
      </c>
      <c r="O241">
        <v>4.41</v>
      </c>
      <c r="P241" t="s">
        <v>71</v>
      </c>
      <c r="Q241" t="s">
        <v>41</v>
      </c>
      <c r="R241" t="s">
        <v>34</v>
      </c>
      <c r="S241" t="s">
        <v>33</v>
      </c>
      <c r="T241">
        <v>5</v>
      </c>
      <c r="U241" t="s">
        <v>32</v>
      </c>
    </row>
    <row r="242" spans="1:21" x14ac:dyDescent="0.3">
      <c r="A242">
        <v>1241</v>
      </c>
      <c r="B242" s="1">
        <v>46061</v>
      </c>
      <c r="C242" t="s">
        <v>42</v>
      </c>
      <c r="D242" t="s">
        <v>35</v>
      </c>
      <c r="E242" t="s">
        <v>23</v>
      </c>
      <c r="F242" t="s">
        <v>45</v>
      </c>
      <c r="G242" t="s">
        <v>170</v>
      </c>
      <c r="H242" t="s">
        <v>54</v>
      </c>
      <c r="I242" t="s">
        <v>47</v>
      </c>
      <c r="J242" t="s">
        <v>48</v>
      </c>
      <c r="K242" t="s">
        <v>200</v>
      </c>
      <c r="L242">
        <v>1</v>
      </c>
      <c r="M242">
        <v>17.71</v>
      </c>
      <c r="N242">
        <v>0</v>
      </c>
      <c r="O242">
        <v>17.71</v>
      </c>
      <c r="P242" t="s">
        <v>30</v>
      </c>
      <c r="Q242" t="s">
        <v>41</v>
      </c>
      <c r="R242" t="s">
        <v>32</v>
      </c>
      <c r="S242" t="s">
        <v>49</v>
      </c>
      <c r="T242">
        <v>3</v>
      </c>
      <c r="U242" t="s">
        <v>34</v>
      </c>
    </row>
    <row r="243" spans="1:21" x14ac:dyDescent="0.3">
      <c r="A243">
        <v>1242</v>
      </c>
      <c r="B243" s="1">
        <v>46104</v>
      </c>
      <c r="C243" t="s">
        <v>21</v>
      </c>
      <c r="D243" t="s">
        <v>51</v>
      </c>
      <c r="E243" t="s">
        <v>23</v>
      </c>
      <c r="F243" t="s">
        <v>52</v>
      </c>
      <c r="G243" t="s">
        <v>118</v>
      </c>
      <c r="H243" t="s">
        <v>38</v>
      </c>
      <c r="I243" t="s">
        <v>47</v>
      </c>
      <c r="J243" t="s">
        <v>48</v>
      </c>
      <c r="K243" t="s">
        <v>200</v>
      </c>
      <c r="L243">
        <v>3</v>
      </c>
      <c r="M243">
        <v>18.29</v>
      </c>
      <c r="N243">
        <v>0</v>
      </c>
      <c r="O243">
        <v>54.87</v>
      </c>
      <c r="P243" t="s">
        <v>30</v>
      </c>
      <c r="Q243" t="s">
        <v>63</v>
      </c>
      <c r="R243" t="s">
        <v>34</v>
      </c>
      <c r="S243" t="s">
        <v>49</v>
      </c>
      <c r="T243">
        <v>4</v>
      </c>
      <c r="U243" t="s">
        <v>34</v>
      </c>
    </row>
    <row r="244" spans="1:21" x14ac:dyDescent="0.3">
      <c r="A244">
        <v>1243</v>
      </c>
      <c r="B244" s="1">
        <v>46026</v>
      </c>
      <c r="C244" t="s">
        <v>50</v>
      </c>
      <c r="D244" t="s">
        <v>64</v>
      </c>
      <c r="E244" t="s">
        <v>23</v>
      </c>
      <c r="F244" t="s">
        <v>83</v>
      </c>
      <c r="G244" t="s">
        <v>188</v>
      </c>
      <c r="H244" t="s">
        <v>54</v>
      </c>
      <c r="I244" t="s">
        <v>55</v>
      </c>
      <c r="J244" t="s">
        <v>111</v>
      </c>
      <c r="K244" t="s">
        <v>62</v>
      </c>
      <c r="L244">
        <v>4</v>
      </c>
      <c r="M244">
        <v>5.25</v>
      </c>
      <c r="N244">
        <v>0</v>
      </c>
      <c r="O244">
        <v>21</v>
      </c>
      <c r="P244" t="s">
        <v>58</v>
      </c>
      <c r="Q244" t="s">
        <v>63</v>
      </c>
      <c r="R244" t="s">
        <v>34</v>
      </c>
      <c r="S244" t="s">
        <v>49</v>
      </c>
      <c r="T244">
        <v>3</v>
      </c>
      <c r="U244" t="s">
        <v>34</v>
      </c>
    </row>
    <row r="245" spans="1:21" x14ac:dyDescent="0.3">
      <c r="A245">
        <v>1244</v>
      </c>
      <c r="B245" s="1">
        <v>46044</v>
      </c>
      <c r="C245" t="s">
        <v>50</v>
      </c>
      <c r="D245" t="s">
        <v>35</v>
      </c>
      <c r="E245" t="s">
        <v>23</v>
      </c>
      <c r="F245" t="s">
        <v>52</v>
      </c>
      <c r="G245" t="s">
        <v>94</v>
      </c>
      <c r="H245" t="s">
        <v>26</v>
      </c>
      <c r="I245" t="s">
        <v>61</v>
      </c>
      <c r="J245" t="s">
        <v>66</v>
      </c>
      <c r="K245" t="s">
        <v>29</v>
      </c>
      <c r="L245">
        <v>4</v>
      </c>
      <c r="M245">
        <v>5.82</v>
      </c>
      <c r="N245">
        <v>0</v>
      </c>
      <c r="O245">
        <v>23.28</v>
      </c>
      <c r="P245" t="s">
        <v>30</v>
      </c>
      <c r="Q245" t="s">
        <v>31</v>
      </c>
      <c r="R245" t="s">
        <v>34</v>
      </c>
      <c r="S245" t="s">
        <v>33</v>
      </c>
      <c r="T245">
        <v>3</v>
      </c>
      <c r="U245" t="s">
        <v>34</v>
      </c>
    </row>
    <row r="246" spans="1:21" x14ac:dyDescent="0.3">
      <c r="A246">
        <v>1245</v>
      </c>
      <c r="B246" s="1">
        <v>46076</v>
      </c>
      <c r="C246" t="s">
        <v>42</v>
      </c>
      <c r="D246" t="s">
        <v>51</v>
      </c>
      <c r="E246" t="s">
        <v>23</v>
      </c>
      <c r="F246" t="s">
        <v>36</v>
      </c>
      <c r="G246" t="s">
        <v>130</v>
      </c>
      <c r="H246" t="s">
        <v>54</v>
      </c>
      <c r="I246" t="s">
        <v>55</v>
      </c>
      <c r="J246" t="s">
        <v>111</v>
      </c>
      <c r="K246" t="s">
        <v>57</v>
      </c>
      <c r="L246">
        <v>3</v>
      </c>
      <c r="M246">
        <v>6.02</v>
      </c>
      <c r="N246">
        <v>0</v>
      </c>
      <c r="O246">
        <v>18.059999999999999</v>
      </c>
      <c r="P246" t="s">
        <v>199</v>
      </c>
      <c r="Q246" t="s">
        <v>63</v>
      </c>
      <c r="R246" t="s">
        <v>32</v>
      </c>
      <c r="S246" t="s">
        <v>49</v>
      </c>
      <c r="T246">
        <v>3</v>
      </c>
      <c r="U246" t="s">
        <v>34</v>
      </c>
    </row>
    <row r="247" spans="1:21" x14ac:dyDescent="0.3">
      <c r="A247">
        <v>1246</v>
      </c>
      <c r="B247" s="1">
        <v>46087</v>
      </c>
      <c r="C247" t="s">
        <v>21</v>
      </c>
      <c r="D247" t="s">
        <v>22</v>
      </c>
      <c r="E247" t="s">
        <v>23</v>
      </c>
      <c r="F247" t="s">
        <v>83</v>
      </c>
      <c r="G247" t="s">
        <v>188</v>
      </c>
      <c r="H247" t="s">
        <v>26</v>
      </c>
      <c r="I247" t="s">
        <v>47</v>
      </c>
      <c r="J247" t="s">
        <v>48</v>
      </c>
      <c r="K247" t="s">
        <v>200</v>
      </c>
      <c r="L247">
        <v>3</v>
      </c>
      <c r="M247">
        <v>18.07</v>
      </c>
      <c r="N247">
        <v>0</v>
      </c>
      <c r="O247">
        <v>54.21</v>
      </c>
      <c r="P247" t="s">
        <v>199</v>
      </c>
      <c r="Q247" t="s">
        <v>41</v>
      </c>
      <c r="R247" t="s">
        <v>32</v>
      </c>
      <c r="S247" t="s">
        <v>49</v>
      </c>
      <c r="T247">
        <v>4</v>
      </c>
      <c r="U247" t="s">
        <v>34</v>
      </c>
    </row>
    <row r="248" spans="1:21" x14ac:dyDescent="0.3">
      <c r="A248">
        <v>1247</v>
      </c>
      <c r="B248" s="1">
        <v>46033</v>
      </c>
      <c r="C248" t="s">
        <v>50</v>
      </c>
      <c r="D248" t="s">
        <v>64</v>
      </c>
      <c r="E248" t="s">
        <v>23</v>
      </c>
      <c r="F248" t="s">
        <v>45</v>
      </c>
      <c r="G248" t="s">
        <v>192</v>
      </c>
      <c r="H248" t="s">
        <v>38</v>
      </c>
      <c r="I248" t="s">
        <v>55</v>
      </c>
      <c r="J248" t="s">
        <v>98</v>
      </c>
      <c r="K248" t="s">
        <v>29</v>
      </c>
      <c r="L248">
        <v>3</v>
      </c>
      <c r="M248">
        <v>4.7699999999999996</v>
      </c>
      <c r="N248">
        <v>0</v>
      </c>
      <c r="O248">
        <v>14.31</v>
      </c>
      <c r="P248" t="s">
        <v>199</v>
      </c>
      <c r="Q248" t="s">
        <v>31</v>
      </c>
      <c r="R248" t="s">
        <v>34</v>
      </c>
      <c r="S248" t="s">
        <v>33</v>
      </c>
      <c r="T248">
        <v>3</v>
      </c>
      <c r="U248" t="s">
        <v>34</v>
      </c>
    </row>
    <row r="249" spans="1:21" x14ac:dyDescent="0.3">
      <c r="A249">
        <v>1248</v>
      </c>
      <c r="B249" s="1">
        <v>46101</v>
      </c>
      <c r="C249" t="s">
        <v>21</v>
      </c>
      <c r="D249" t="s">
        <v>64</v>
      </c>
      <c r="E249" t="s">
        <v>23</v>
      </c>
      <c r="F249" t="s">
        <v>36</v>
      </c>
      <c r="G249" t="s">
        <v>156</v>
      </c>
      <c r="H249" t="s">
        <v>54</v>
      </c>
      <c r="I249" t="s">
        <v>89</v>
      </c>
      <c r="J249" t="s">
        <v>104</v>
      </c>
      <c r="K249" t="s">
        <v>200</v>
      </c>
      <c r="L249">
        <v>4</v>
      </c>
      <c r="M249">
        <v>5.09</v>
      </c>
      <c r="N249">
        <v>5</v>
      </c>
      <c r="O249">
        <v>19.34</v>
      </c>
      <c r="P249" t="s">
        <v>58</v>
      </c>
      <c r="Q249" t="s">
        <v>63</v>
      </c>
      <c r="R249" t="s">
        <v>34</v>
      </c>
      <c r="S249" t="s">
        <v>33</v>
      </c>
      <c r="T249">
        <v>3</v>
      </c>
      <c r="U249" t="s">
        <v>34</v>
      </c>
    </row>
    <row r="250" spans="1:21" x14ac:dyDescent="0.3">
      <c r="A250">
        <v>1249</v>
      </c>
      <c r="B250" s="1">
        <v>46090</v>
      </c>
      <c r="C250" t="s">
        <v>21</v>
      </c>
      <c r="D250" t="s">
        <v>77</v>
      </c>
      <c r="E250" t="s">
        <v>23</v>
      </c>
      <c r="F250" t="s">
        <v>52</v>
      </c>
      <c r="G250" t="s">
        <v>174</v>
      </c>
      <c r="H250" t="s">
        <v>26</v>
      </c>
      <c r="I250" t="s">
        <v>27</v>
      </c>
      <c r="J250" t="s">
        <v>79</v>
      </c>
      <c r="K250" t="s">
        <v>57</v>
      </c>
      <c r="L250">
        <v>2</v>
      </c>
      <c r="M250">
        <v>6.3</v>
      </c>
      <c r="N250">
        <v>0</v>
      </c>
      <c r="O250">
        <v>12.6</v>
      </c>
      <c r="P250" t="s">
        <v>199</v>
      </c>
      <c r="Q250" t="s">
        <v>63</v>
      </c>
      <c r="R250" t="s">
        <v>34</v>
      </c>
      <c r="S250" t="s">
        <v>33</v>
      </c>
      <c r="T250">
        <v>5</v>
      </c>
      <c r="U250" t="s">
        <v>34</v>
      </c>
    </row>
    <row r="251" spans="1:21" x14ac:dyDescent="0.3">
      <c r="A251">
        <v>1250</v>
      </c>
      <c r="B251" s="1">
        <v>46028</v>
      </c>
      <c r="C251" t="s">
        <v>50</v>
      </c>
      <c r="D251" t="s">
        <v>51</v>
      </c>
      <c r="E251" t="s">
        <v>23</v>
      </c>
      <c r="F251" t="s">
        <v>69</v>
      </c>
      <c r="G251" t="s">
        <v>186</v>
      </c>
      <c r="H251" t="s">
        <v>38</v>
      </c>
      <c r="I251" t="s">
        <v>55</v>
      </c>
      <c r="J251" t="s">
        <v>111</v>
      </c>
      <c r="K251" t="s">
        <v>57</v>
      </c>
      <c r="L251">
        <v>3</v>
      </c>
      <c r="M251">
        <v>5.99</v>
      </c>
      <c r="N251">
        <v>0</v>
      </c>
      <c r="O251">
        <v>17.97</v>
      </c>
      <c r="P251" t="s">
        <v>58</v>
      </c>
      <c r="Q251" t="s">
        <v>41</v>
      </c>
      <c r="R251" t="s">
        <v>32</v>
      </c>
      <c r="S251" t="s">
        <v>33</v>
      </c>
      <c r="T251">
        <v>5</v>
      </c>
      <c r="U251" t="s">
        <v>34</v>
      </c>
    </row>
    <row r="252" spans="1:21" x14ac:dyDescent="0.3">
      <c r="A252">
        <v>1251</v>
      </c>
      <c r="B252" s="1">
        <v>46039</v>
      </c>
      <c r="C252" t="s">
        <v>50</v>
      </c>
      <c r="D252" t="s">
        <v>77</v>
      </c>
      <c r="E252" t="s">
        <v>23</v>
      </c>
      <c r="F252" t="s">
        <v>45</v>
      </c>
      <c r="G252" t="s">
        <v>127</v>
      </c>
      <c r="H252" t="s">
        <v>54</v>
      </c>
      <c r="I252" t="s">
        <v>89</v>
      </c>
      <c r="J252" t="s">
        <v>90</v>
      </c>
      <c r="K252" t="s">
        <v>200</v>
      </c>
      <c r="L252">
        <v>2</v>
      </c>
      <c r="M252">
        <v>4.8099999999999996</v>
      </c>
      <c r="N252">
        <v>0</v>
      </c>
      <c r="O252">
        <v>9.6199999999999992</v>
      </c>
      <c r="P252" t="s">
        <v>199</v>
      </c>
      <c r="Q252" t="s">
        <v>31</v>
      </c>
      <c r="R252" t="s">
        <v>32</v>
      </c>
      <c r="S252" t="s">
        <v>33</v>
      </c>
      <c r="T252">
        <v>3</v>
      </c>
      <c r="U252" t="s">
        <v>34</v>
      </c>
    </row>
    <row r="253" spans="1:21" x14ac:dyDescent="0.3">
      <c r="A253">
        <v>1252</v>
      </c>
      <c r="B253" s="1">
        <v>46029</v>
      </c>
      <c r="C253" t="s">
        <v>50</v>
      </c>
      <c r="D253" t="s">
        <v>22</v>
      </c>
      <c r="E253" t="s">
        <v>23</v>
      </c>
      <c r="F253" t="s">
        <v>52</v>
      </c>
      <c r="G253" t="s">
        <v>192</v>
      </c>
      <c r="H253" t="s">
        <v>54</v>
      </c>
      <c r="I253" t="s">
        <v>81</v>
      </c>
      <c r="J253" t="s">
        <v>101</v>
      </c>
      <c r="K253" t="s">
        <v>200</v>
      </c>
      <c r="L253">
        <v>4</v>
      </c>
      <c r="M253">
        <v>3.81</v>
      </c>
      <c r="N253">
        <v>0</v>
      </c>
      <c r="O253">
        <v>15.24</v>
      </c>
      <c r="P253" t="s">
        <v>30</v>
      </c>
      <c r="Q253" t="s">
        <v>41</v>
      </c>
      <c r="R253" t="s">
        <v>34</v>
      </c>
      <c r="S253" t="s">
        <v>33</v>
      </c>
      <c r="T253">
        <v>3</v>
      </c>
      <c r="U253" t="s">
        <v>34</v>
      </c>
    </row>
    <row r="254" spans="1:21" x14ac:dyDescent="0.3">
      <c r="A254">
        <v>1253</v>
      </c>
      <c r="B254" s="1">
        <v>46102</v>
      </c>
      <c r="C254" t="s">
        <v>21</v>
      </c>
      <c r="D254" t="s">
        <v>35</v>
      </c>
      <c r="E254" t="s">
        <v>23</v>
      </c>
      <c r="F254" t="s">
        <v>24</v>
      </c>
      <c r="G254" t="s">
        <v>86</v>
      </c>
      <c r="H254" t="s">
        <v>38</v>
      </c>
      <c r="I254" t="s">
        <v>89</v>
      </c>
      <c r="J254" t="s">
        <v>90</v>
      </c>
      <c r="K254" t="s">
        <v>200</v>
      </c>
      <c r="L254">
        <v>4</v>
      </c>
      <c r="M254">
        <v>5.45</v>
      </c>
      <c r="N254">
        <v>0</v>
      </c>
      <c r="O254">
        <v>21.8</v>
      </c>
      <c r="P254" t="s">
        <v>30</v>
      </c>
      <c r="Q254" t="s">
        <v>41</v>
      </c>
      <c r="R254" t="s">
        <v>32</v>
      </c>
      <c r="S254" t="s">
        <v>33</v>
      </c>
      <c r="T254">
        <v>3</v>
      </c>
      <c r="U254" t="s">
        <v>34</v>
      </c>
    </row>
    <row r="255" spans="1:21" x14ac:dyDescent="0.3">
      <c r="A255">
        <v>1254</v>
      </c>
      <c r="B255" s="1">
        <v>46089</v>
      </c>
      <c r="C255" t="s">
        <v>21</v>
      </c>
      <c r="D255" t="s">
        <v>77</v>
      </c>
      <c r="E255" t="s">
        <v>23</v>
      </c>
      <c r="F255" t="s">
        <v>83</v>
      </c>
      <c r="G255" t="s">
        <v>180</v>
      </c>
      <c r="H255" t="s">
        <v>26</v>
      </c>
      <c r="I255" t="s">
        <v>55</v>
      </c>
      <c r="J255" t="s">
        <v>98</v>
      </c>
      <c r="K255" t="s">
        <v>62</v>
      </c>
      <c r="L255">
        <v>3</v>
      </c>
      <c r="M255">
        <v>5.04</v>
      </c>
      <c r="N255">
        <v>10</v>
      </c>
      <c r="O255">
        <v>13.61</v>
      </c>
      <c r="P255" t="s">
        <v>71</v>
      </c>
      <c r="Q255" t="s">
        <v>31</v>
      </c>
      <c r="R255" t="s">
        <v>32</v>
      </c>
      <c r="S255" t="s">
        <v>33</v>
      </c>
      <c r="T255">
        <v>3</v>
      </c>
      <c r="U255" t="s">
        <v>34</v>
      </c>
    </row>
    <row r="256" spans="1:21" x14ac:dyDescent="0.3">
      <c r="A256">
        <v>1255</v>
      </c>
      <c r="B256" s="1">
        <v>46037</v>
      </c>
      <c r="C256" t="s">
        <v>50</v>
      </c>
      <c r="D256" t="s">
        <v>35</v>
      </c>
      <c r="E256" t="s">
        <v>23</v>
      </c>
      <c r="F256" t="s">
        <v>24</v>
      </c>
      <c r="G256" t="s">
        <v>143</v>
      </c>
      <c r="H256" t="s">
        <v>26</v>
      </c>
      <c r="I256" t="s">
        <v>89</v>
      </c>
      <c r="J256" t="s">
        <v>104</v>
      </c>
      <c r="K256" t="s">
        <v>200</v>
      </c>
      <c r="L256">
        <v>2</v>
      </c>
      <c r="M256">
        <v>5.55</v>
      </c>
      <c r="N256">
        <v>10</v>
      </c>
      <c r="O256">
        <v>9.99</v>
      </c>
      <c r="P256" t="s">
        <v>58</v>
      </c>
      <c r="Q256" t="s">
        <v>41</v>
      </c>
      <c r="R256" t="s">
        <v>34</v>
      </c>
      <c r="S256" t="s">
        <v>49</v>
      </c>
      <c r="T256">
        <v>3</v>
      </c>
      <c r="U256" t="s">
        <v>32</v>
      </c>
    </row>
    <row r="257" spans="1:21" x14ac:dyDescent="0.3">
      <c r="A257">
        <v>1256</v>
      </c>
      <c r="B257" s="1">
        <v>46029</v>
      </c>
      <c r="C257" t="s">
        <v>50</v>
      </c>
      <c r="D257" t="s">
        <v>22</v>
      </c>
      <c r="E257" t="s">
        <v>23</v>
      </c>
      <c r="F257" t="s">
        <v>59</v>
      </c>
      <c r="G257" t="s">
        <v>95</v>
      </c>
      <c r="H257" t="s">
        <v>38</v>
      </c>
      <c r="I257" t="s">
        <v>47</v>
      </c>
      <c r="J257" t="s">
        <v>68</v>
      </c>
      <c r="K257" t="s">
        <v>200</v>
      </c>
      <c r="L257">
        <v>1</v>
      </c>
      <c r="M257">
        <v>18.47</v>
      </c>
      <c r="N257">
        <v>0</v>
      </c>
      <c r="O257">
        <v>18.47</v>
      </c>
      <c r="P257" t="s">
        <v>30</v>
      </c>
      <c r="Q257" t="s">
        <v>31</v>
      </c>
      <c r="R257" t="s">
        <v>32</v>
      </c>
      <c r="S257" t="s">
        <v>33</v>
      </c>
      <c r="T257">
        <v>5</v>
      </c>
      <c r="U257" t="s">
        <v>34</v>
      </c>
    </row>
    <row r="258" spans="1:21" x14ac:dyDescent="0.3">
      <c r="A258">
        <v>1257</v>
      </c>
      <c r="B258" s="1">
        <v>46065</v>
      </c>
      <c r="C258" t="s">
        <v>42</v>
      </c>
      <c r="D258" t="s">
        <v>51</v>
      </c>
      <c r="E258" t="s">
        <v>23</v>
      </c>
      <c r="F258" t="s">
        <v>91</v>
      </c>
      <c r="G258" t="s">
        <v>157</v>
      </c>
      <c r="H258" t="s">
        <v>38</v>
      </c>
      <c r="I258" t="s">
        <v>81</v>
      </c>
      <c r="J258" t="s">
        <v>140</v>
      </c>
      <c r="K258" t="s">
        <v>200</v>
      </c>
      <c r="L258">
        <v>3</v>
      </c>
      <c r="M258">
        <v>4.49</v>
      </c>
      <c r="N258">
        <v>0</v>
      </c>
      <c r="O258">
        <v>13.47</v>
      </c>
      <c r="P258" t="s">
        <v>40</v>
      </c>
      <c r="Q258" t="s">
        <v>41</v>
      </c>
      <c r="R258" t="s">
        <v>34</v>
      </c>
      <c r="S258" t="s">
        <v>49</v>
      </c>
      <c r="T258">
        <v>5</v>
      </c>
      <c r="U258" t="s">
        <v>32</v>
      </c>
    </row>
    <row r="259" spans="1:21" x14ac:dyDescent="0.3">
      <c r="A259">
        <v>1258</v>
      </c>
      <c r="B259" s="1">
        <v>46111</v>
      </c>
      <c r="C259" t="s">
        <v>21</v>
      </c>
      <c r="D259" t="s">
        <v>64</v>
      </c>
      <c r="E259" t="s">
        <v>23</v>
      </c>
      <c r="F259" t="s">
        <v>24</v>
      </c>
      <c r="G259" t="s">
        <v>109</v>
      </c>
      <c r="H259" t="s">
        <v>54</v>
      </c>
      <c r="I259" t="s">
        <v>47</v>
      </c>
      <c r="J259" t="s">
        <v>48</v>
      </c>
      <c r="K259" t="s">
        <v>200</v>
      </c>
      <c r="L259">
        <v>2</v>
      </c>
      <c r="M259">
        <v>17.8</v>
      </c>
      <c r="N259">
        <v>0</v>
      </c>
      <c r="O259">
        <v>35.6</v>
      </c>
      <c r="P259" t="s">
        <v>40</v>
      </c>
      <c r="Q259" t="s">
        <v>63</v>
      </c>
      <c r="R259" t="s">
        <v>34</v>
      </c>
      <c r="S259" t="s">
        <v>33</v>
      </c>
      <c r="T259">
        <v>4</v>
      </c>
      <c r="U259" t="s">
        <v>32</v>
      </c>
    </row>
    <row r="260" spans="1:21" x14ac:dyDescent="0.3">
      <c r="A260">
        <v>1259</v>
      </c>
      <c r="B260" s="1">
        <v>46068</v>
      </c>
      <c r="C260" t="s">
        <v>42</v>
      </c>
      <c r="D260" t="s">
        <v>35</v>
      </c>
      <c r="E260" t="s">
        <v>23</v>
      </c>
      <c r="F260" t="s">
        <v>36</v>
      </c>
      <c r="G260" t="s">
        <v>142</v>
      </c>
      <c r="H260" t="s">
        <v>26</v>
      </c>
      <c r="I260" t="s">
        <v>27</v>
      </c>
      <c r="J260" t="s">
        <v>168</v>
      </c>
      <c r="K260" t="s">
        <v>62</v>
      </c>
      <c r="L260">
        <v>4</v>
      </c>
      <c r="M260">
        <v>5.5</v>
      </c>
      <c r="N260">
        <v>5</v>
      </c>
      <c r="O260">
        <v>20.9</v>
      </c>
      <c r="P260" t="s">
        <v>71</v>
      </c>
      <c r="Q260" t="s">
        <v>31</v>
      </c>
      <c r="R260" t="s">
        <v>32</v>
      </c>
      <c r="S260" t="s">
        <v>49</v>
      </c>
      <c r="T260">
        <v>3</v>
      </c>
      <c r="U260" t="s">
        <v>34</v>
      </c>
    </row>
    <row r="261" spans="1:21" x14ac:dyDescent="0.3">
      <c r="A261">
        <v>1260</v>
      </c>
      <c r="B261" s="1">
        <v>46078</v>
      </c>
      <c r="C261" t="s">
        <v>42</v>
      </c>
      <c r="D261" t="s">
        <v>77</v>
      </c>
      <c r="E261" t="s">
        <v>23</v>
      </c>
      <c r="F261" t="s">
        <v>36</v>
      </c>
      <c r="G261" t="s">
        <v>167</v>
      </c>
      <c r="H261" t="s">
        <v>54</v>
      </c>
      <c r="I261" t="s">
        <v>81</v>
      </c>
      <c r="J261" t="s">
        <v>101</v>
      </c>
      <c r="K261" t="s">
        <v>200</v>
      </c>
      <c r="L261">
        <v>4</v>
      </c>
      <c r="M261">
        <v>3.83</v>
      </c>
      <c r="N261">
        <v>10</v>
      </c>
      <c r="O261">
        <v>13.79</v>
      </c>
      <c r="P261" t="s">
        <v>58</v>
      </c>
      <c r="Q261" t="s">
        <v>63</v>
      </c>
      <c r="R261" t="s">
        <v>34</v>
      </c>
      <c r="S261" t="s">
        <v>49</v>
      </c>
      <c r="T261">
        <v>3</v>
      </c>
      <c r="U261" t="s">
        <v>34</v>
      </c>
    </row>
    <row r="262" spans="1:21" x14ac:dyDescent="0.3">
      <c r="A262">
        <v>1261</v>
      </c>
      <c r="B262" s="1">
        <v>46032</v>
      </c>
      <c r="C262" t="s">
        <v>50</v>
      </c>
      <c r="D262" t="s">
        <v>64</v>
      </c>
      <c r="E262" t="s">
        <v>23</v>
      </c>
      <c r="F262" t="s">
        <v>59</v>
      </c>
      <c r="G262" t="s">
        <v>102</v>
      </c>
      <c r="H262" t="s">
        <v>38</v>
      </c>
      <c r="I262" t="s">
        <v>55</v>
      </c>
      <c r="J262" t="s">
        <v>56</v>
      </c>
      <c r="K262" t="s">
        <v>62</v>
      </c>
      <c r="L262">
        <v>3</v>
      </c>
      <c r="M262">
        <v>4.95</v>
      </c>
      <c r="N262">
        <v>0</v>
      </c>
      <c r="O262">
        <v>14.85</v>
      </c>
      <c r="P262" t="s">
        <v>30</v>
      </c>
      <c r="Q262" t="s">
        <v>41</v>
      </c>
      <c r="R262" t="s">
        <v>34</v>
      </c>
      <c r="S262" t="s">
        <v>49</v>
      </c>
      <c r="T262">
        <v>3</v>
      </c>
      <c r="U262" t="s">
        <v>34</v>
      </c>
    </row>
    <row r="263" spans="1:21" x14ac:dyDescent="0.3">
      <c r="A263">
        <v>1262</v>
      </c>
      <c r="B263" s="1">
        <v>46086</v>
      </c>
      <c r="C263" t="s">
        <v>21</v>
      </c>
      <c r="D263" t="s">
        <v>64</v>
      </c>
      <c r="E263" t="s">
        <v>23</v>
      </c>
      <c r="F263" t="s">
        <v>36</v>
      </c>
      <c r="G263" t="s">
        <v>193</v>
      </c>
      <c r="H263" t="s">
        <v>38</v>
      </c>
      <c r="I263" t="s">
        <v>55</v>
      </c>
      <c r="J263" t="s">
        <v>56</v>
      </c>
      <c r="K263" t="s">
        <v>62</v>
      </c>
      <c r="L263">
        <v>1</v>
      </c>
      <c r="M263">
        <v>4.99</v>
      </c>
      <c r="N263">
        <v>5</v>
      </c>
      <c r="O263">
        <v>4.74</v>
      </c>
      <c r="P263" t="s">
        <v>199</v>
      </c>
      <c r="Q263" t="s">
        <v>63</v>
      </c>
      <c r="R263" t="s">
        <v>34</v>
      </c>
      <c r="S263" t="s">
        <v>33</v>
      </c>
      <c r="T263">
        <v>3</v>
      </c>
      <c r="U263" t="s">
        <v>32</v>
      </c>
    </row>
    <row r="264" spans="1:21" x14ac:dyDescent="0.3">
      <c r="A264">
        <v>1263</v>
      </c>
      <c r="B264" s="1">
        <v>46066</v>
      </c>
      <c r="C264" t="s">
        <v>42</v>
      </c>
      <c r="D264" t="s">
        <v>51</v>
      </c>
      <c r="E264" t="s">
        <v>23</v>
      </c>
      <c r="F264" t="s">
        <v>69</v>
      </c>
      <c r="G264" t="s">
        <v>187</v>
      </c>
      <c r="H264" t="s">
        <v>54</v>
      </c>
      <c r="I264" t="s">
        <v>47</v>
      </c>
      <c r="J264" t="s">
        <v>68</v>
      </c>
      <c r="K264" t="s">
        <v>200</v>
      </c>
      <c r="L264">
        <v>2</v>
      </c>
      <c r="M264">
        <v>18.46</v>
      </c>
      <c r="N264">
        <v>0</v>
      </c>
      <c r="O264">
        <v>36.92</v>
      </c>
      <c r="P264" t="s">
        <v>71</v>
      </c>
      <c r="Q264" t="s">
        <v>63</v>
      </c>
      <c r="R264" t="s">
        <v>34</v>
      </c>
      <c r="S264" t="s">
        <v>33</v>
      </c>
      <c r="T264">
        <v>3</v>
      </c>
      <c r="U264" t="s">
        <v>34</v>
      </c>
    </row>
    <row r="265" spans="1:21" x14ac:dyDescent="0.3">
      <c r="A265">
        <v>1264</v>
      </c>
      <c r="B265" s="1">
        <v>46107</v>
      </c>
      <c r="C265" t="s">
        <v>21</v>
      </c>
      <c r="D265" t="s">
        <v>77</v>
      </c>
      <c r="E265" t="s">
        <v>23</v>
      </c>
      <c r="F265" t="s">
        <v>36</v>
      </c>
      <c r="G265" t="s">
        <v>65</v>
      </c>
      <c r="H265" t="s">
        <v>38</v>
      </c>
      <c r="I265" t="s">
        <v>27</v>
      </c>
      <c r="J265" t="s">
        <v>28</v>
      </c>
      <c r="K265" t="s">
        <v>62</v>
      </c>
      <c r="L265">
        <v>3</v>
      </c>
      <c r="M265">
        <v>5.89</v>
      </c>
      <c r="N265">
        <v>0</v>
      </c>
      <c r="O265">
        <v>17.670000000000002</v>
      </c>
      <c r="P265" t="s">
        <v>40</v>
      </c>
      <c r="Q265" t="s">
        <v>31</v>
      </c>
      <c r="R265" t="s">
        <v>34</v>
      </c>
      <c r="S265" t="s">
        <v>33</v>
      </c>
      <c r="T265">
        <v>3</v>
      </c>
      <c r="U265" t="s">
        <v>34</v>
      </c>
    </row>
    <row r="266" spans="1:21" x14ac:dyDescent="0.3">
      <c r="A266">
        <v>1265</v>
      </c>
      <c r="B266" s="1">
        <v>46101</v>
      </c>
      <c r="C266" t="s">
        <v>21</v>
      </c>
      <c r="D266" t="s">
        <v>77</v>
      </c>
      <c r="E266" t="s">
        <v>23</v>
      </c>
      <c r="F266" t="s">
        <v>24</v>
      </c>
      <c r="G266" t="s">
        <v>181</v>
      </c>
      <c r="H266" t="s">
        <v>26</v>
      </c>
      <c r="I266" t="s">
        <v>61</v>
      </c>
      <c r="J266" t="s">
        <v>113</v>
      </c>
      <c r="K266" t="s">
        <v>62</v>
      </c>
      <c r="L266">
        <v>2</v>
      </c>
      <c r="M266">
        <v>6.81</v>
      </c>
      <c r="N266">
        <v>0</v>
      </c>
      <c r="O266">
        <v>13.62</v>
      </c>
      <c r="P266" t="s">
        <v>30</v>
      </c>
      <c r="Q266" t="s">
        <v>63</v>
      </c>
      <c r="R266" t="s">
        <v>32</v>
      </c>
      <c r="S266" t="s">
        <v>49</v>
      </c>
      <c r="T266">
        <v>5</v>
      </c>
      <c r="U266" t="s">
        <v>32</v>
      </c>
    </row>
    <row r="267" spans="1:21" x14ac:dyDescent="0.3">
      <c r="A267">
        <v>1266</v>
      </c>
      <c r="B267" s="1">
        <v>46107</v>
      </c>
      <c r="C267" t="s">
        <v>21</v>
      </c>
      <c r="D267" t="s">
        <v>35</v>
      </c>
      <c r="E267" t="s">
        <v>23</v>
      </c>
      <c r="F267" t="s">
        <v>59</v>
      </c>
      <c r="G267" t="s">
        <v>161</v>
      </c>
      <c r="H267" t="s">
        <v>54</v>
      </c>
      <c r="I267" t="s">
        <v>73</v>
      </c>
      <c r="J267" t="s">
        <v>74</v>
      </c>
      <c r="K267" t="s">
        <v>200</v>
      </c>
      <c r="L267">
        <v>4</v>
      </c>
      <c r="M267">
        <v>7.7</v>
      </c>
      <c r="N267">
        <v>0</v>
      </c>
      <c r="O267">
        <v>30.8</v>
      </c>
      <c r="P267" t="s">
        <v>40</v>
      </c>
      <c r="Q267" t="s">
        <v>63</v>
      </c>
      <c r="R267" t="s">
        <v>32</v>
      </c>
      <c r="S267" t="s">
        <v>33</v>
      </c>
      <c r="T267">
        <v>3</v>
      </c>
      <c r="U267" t="s">
        <v>34</v>
      </c>
    </row>
    <row r="268" spans="1:21" x14ac:dyDescent="0.3">
      <c r="A268">
        <v>1267</v>
      </c>
      <c r="B268" s="1">
        <v>46036</v>
      </c>
      <c r="C268" t="s">
        <v>50</v>
      </c>
      <c r="D268" t="s">
        <v>64</v>
      </c>
      <c r="E268" t="s">
        <v>23</v>
      </c>
      <c r="F268" t="s">
        <v>45</v>
      </c>
      <c r="G268" t="s">
        <v>164</v>
      </c>
      <c r="H268" t="s">
        <v>26</v>
      </c>
      <c r="I268" t="s">
        <v>89</v>
      </c>
      <c r="J268" t="s">
        <v>104</v>
      </c>
      <c r="K268" t="s">
        <v>200</v>
      </c>
      <c r="L268">
        <v>4</v>
      </c>
      <c r="M268">
        <v>5.08</v>
      </c>
      <c r="N268">
        <v>10</v>
      </c>
      <c r="O268">
        <v>18.29</v>
      </c>
      <c r="P268" t="s">
        <v>71</v>
      </c>
      <c r="Q268" t="s">
        <v>41</v>
      </c>
      <c r="R268" t="s">
        <v>32</v>
      </c>
      <c r="S268" t="s">
        <v>33</v>
      </c>
      <c r="T268">
        <v>4</v>
      </c>
      <c r="U268" t="s">
        <v>32</v>
      </c>
    </row>
    <row r="269" spans="1:21" x14ac:dyDescent="0.3">
      <c r="A269">
        <v>1268</v>
      </c>
      <c r="B269" s="1">
        <v>46100</v>
      </c>
      <c r="C269" t="s">
        <v>21</v>
      </c>
      <c r="D269" t="s">
        <v>35</v>
      </c>
      <c r="E269" t="s">
        <v>23</v>
      </c>
      <c r="F269" t="s">
        <v>83</v>
      </c>
      <c r="G269" t="s">
        <v>192</v>
      </c>
      <c r="H269" t="s">
        <v>54</v>
      </c>
      <c r="I269" t="s">
        <v>55</v>
      </c>
      <c r="J269" t="s">
        <v>98</v>
      </c>
      <c r="K269" t="s">
        <v>57</v>
      </c>
      <c r="L269">
        <v>3</v>
      </c>
      <c r="M269">
        <v>6.24</v>
      </c>
      <c r="N269">
        <v>10</v>
      </c>
      <c r="O269">
        <v>16.850000000000001</v>
      </c>
      <c r="P269" t="s">
        <v>71</v>
      </c>
      <c r="Q269" t="s">
        <v>63</v>
      </c>
      <c r="R269" t="s">
        <v>34</v>
      </c>
      <c r="S269" t="s">
        <v>33</v>
      </c>
      <c r="T269">
        <v>4</v>
      </c>
      <c r="U269" t="s">
        <v>34</v>
      </c>
    </row>
    <row r="270" spans="1:21" x14ac:dyDescent="0.3">
      <c r="A270">
        <v>1269</v>
      </c>
      <c r="B270" s="1">
        <v>46087</v>
      </c>
      <c r="C270" t="s">
        <v>21</v>
      </c>
      <c r="D270" t="s">
        <v>35</v>
      </c>
      <c r="E270" t="s">
        <v>23</v>
      </c>
      <c r="F270" t="s">
        <v>59</v>
      </c>
      <c r="G270" t="s">
        <v>100</v>
      </c>
      <c r="H270" t="s">
        <v>54</v>
      </c>
      <c r="I270" t="s">
        <v>89</v>
      </c>
      <c r="J270" t="s">
        <v>104</v>
      </c>
      <c r="K270" t="s">
        <v>200</v>
      </c>
      <c r="L270">
        <v>1</v>
      </c>
      <c r="M270">
        <v>5.38</v>
      </c>
      <c r="N270">
        <v>10</v>
      </c>
      <c r="O270">
        <v>4.84</v>
      </c>
      <c r="P270" t="s">
        <v>199</v>
      </c>
      <c r="Q270" t="s">
        <v>41</v>
      </c>
      <c r="R270" t="s">
        <v>34</v>
      </c>
      <c r="S270" t="s">
        <v>33</v>
      </c>
      <c r="T270">
        <v>3</v>
      </c>
      <c r="U270" t="s">
        <v>34</v>
      </c>
    </row>
    <row r="271" spans="1:21" x14ac:dyDescent="0.3">
      <c r="A271">
        <v>1270</v>
      </c>
      <c r="B271" s="1">
        <v>46026</v>
      </c>
      <c r="C271" t="s">
        <v>50</v>
      </c>
      <c r="D271" t="s">
        <v>64</v>
      </c>
      <c r="E271" t="s">
        <v>23</v>
      </c>
      <c r="F271" t="s">
        <v>45</v>
      </c>
      <c r="G271" t="s">
        <v>194</v>
      </c>
      <c r="H271" t="s">
        <v>38</v>
      </c>
      <c r="I271" t="s">
        <v>61</v>
      </c>
      <c r="J271" t="s">
        <v>113</v>
      </c>
      <c r="K271" t="s">
        <v>57</v>
      </c>
      <c r="L271">
        <v>1</v>
      </c>
      <c r="M271">
        <v>7.28</v>
      </c>
      <c r="N271">
        <v>0</v>
      </c>
      <c r="O271">
        <v>7.28</v>
      </c>
      <c r="P271" t="s">
        <v>71</v>
      </c>
      <c r="Q271" t="s">
        <v>31</v>
      </c>
      <c r="R271" t="s">
        <v>32</v>
      </c>
      <c r="S271" t="s">
        <v>49</v>
      </c>
      <c r="T271">
        <v>5</v>
      </c>
      <c r="U271" t="s">
        <v>32</v>
      </c>
    </row>
    <row r="272" spans="1:21" x14ac:dyDescent="0.3">
      <c r="A272">
        <v>1271</v>
      </c>
      <c r="B272" s="1">
        <v>46036</v>
      </c>
      <c r="C272" t="s">
        <v>50</v>
      </c>
      <c r="D272" t="s">
        <v>35</v>
      </c>
      <c r="E272" t="s">
        <v>23</v>
      </c>
      <c r="F272" t="s">
        <v>59</v>
      </c>
      <c r="G272" t="s">
        <v>67</v>
      </c>
      <c r="H272" t="s">
        <v>26</v>
      </c>
      <c r="I272" t="s">
        <v>47</v>
      </c>
      <c r="J272" t="s">
        <v>68</v>
      </c>
      <c r="K272" t="s">
        <v>200</v>
      </c>
      <c r="L272">
        <v>4</v>
      </c>
      <c r="M272">
        <v>17.91</v>
      </c>
      <c r="N272">
        <v>0</v>
      </c>
      <c r="O272">
        <v>71.64</v>
      </c>
      <c r="P272" t="s">
        <v>71</v>
      </c>
      <c r="Q272" t="s">
        <v>63</v>
      </c>
      <c r="R272" t="s">
        <v>32</v>
      </c>
      <c r="S272" t="s">
        <v>33</v>
      </c>
      <c r="T272">
        <v>3</v>
      </c>
      <c r="U272" t="s">
        <v>34</v>
      </c>
    </row>
    <row r="273" spans="1:21" x14ac:dyDescent="0.3">
      <c r="A273">
        <v>1272</v>
      </c>
      <c r="B273" s="1">
        <v>46048</v>
      </c>
      <c r="C273" t="s">
        <v>50</v>
      </c>
      <c r="D273" t="s">
        <v>35</v>
      </c>
      <c r="E273" t="s">
        <v>23</v>
      </c>
      <c r="F273" t="s">
        <v>83</v>
      </c>
      <c r="G273" t="s">
        <v>115</v>
      </c>
      <c r="H273" t="s">
        <v>54</v>
      </c>
      <c r="I273" t="s">
        <v>47</v>
      </c>
      <c r="J273" t="s">
        <v>48</v>
      </c>
      <c r="K273" t="s">
        <v>200</v>
      </c>
      <c r="L273">
        <v>2</v>
      </c>
      <c r="M273">
        <v>18.52</v>
      </c>
      <c r="N273">
        <v>0</v>
      </c>
      <c r="O273">
        <v>37.04</v>
      </c>
      <c r="P273" t="s">
        <v>58</v>
      </c>
      <c r="Q273" t="s">
        <v>41</v>
      </c>
      <c r="R273" t="s">
        <v>34</v>
      </c>
      <c r="S273" t="s">
        <v>33</v>
      </c>
      <c r="T273">
        <v>3</v>
      </c>
      <c r="U273" t="s">
        <v>34</v>
      </c>
    </row>
    <row r="274" spans="1:21" x14ac:dyDescent="0.3">
      <c r="A274">
        <v>1273</v>
      </c>
      <c r="B274" s="1">
        <v>46046</v>
      </c>
      <c r="C274" t="s">
        <v>50</v>
      </c>
      <c r="D274" t="s">
        <v>77</v>
      </c>
      <c r="E274" t="s">
        <v>23</v>
      </c>
      <c r="F274" t="s">
        <v>45</v>
      </c>
      <c r="G274" t="s">
        <v>75</v>
      </c>
      <c r="H274" t="s">
        <v>38</v>
      </c>
      <c r="I274" t="s">
        <v>89</v>
      </c>
      <c r="J274" t="s">
        <v>90</v>
      </c>
      <c r="K274" t="s">
        <v>200</v>
      </c>
      <c r="L274">
        <v>4</v>
      </c>
      <c r="M274">
        <v>4.74</v>
      </c>
      <c r="N274">
        <v>0</v>
      </c>
      <c r="O274">
        <v>18.96</v>
      </c>
      <c r="P274" t="s">
        <v>199</v>
      </c>
      <c r="Q274" t="s">
        <v>41</v>
      </c>
      <c r="R274" t="s">
        <v>32</v>
      </c>
      <c r="S274" t="s">
        <v>49</v>
      </c>
      <c r="T274">
        <v>3</v>
      </c>
      <c r="U274" t="s">
        <v>32</v>
      </c>
    </row>
    <row r="275" spans="1:21" x14ac:dyDescent="0.3">
      <c r="A275">
        <v>1274</v>
      </c>
      <c r="B275" s="1">
        <v>46042</v>
      </c>
      <c r="C275" t="s">
        <v>50</v>
      </c>
      <c r="D275" t="s">
        <v>22</v>
      </c>
      <c r="E275" t="s">
        <v>23</v>
      </c>
      <c r="F275" t="s">
        <v>69</v>
      </c>
      <c r="G275" t="s">
        <v>103</v>
      </c>
      <c r="H275" t="s">
        <v>54</v>
      </c>
      <c r="I275" t="s">
        <v>61</v>
      </c>
      <c r="J275" t="s">
        <v>66</v>
      </c>
      <c r="K275" t="s">
        <v>57</v>
      </c>
      <c r="L275">
        <v>1</v>
      </c>
      <c r="M275">
        <v>7.8</v>
      </c>
      <c r="N275">
        <v>10</v>
      </c>
      <c r="O275">
        <v>7.02</v>
      </c>
      <c r="P275" t="s">
        <v>199</v>
      </c>
      <c r="Q275" t="s">
        <v>41</v>
      </c>
      <c r="R275" t="s">
        <v>32</v>
      </c>
      <c r="S275" t="s">
        <v>49</v>
      </c>
      <c r="T275">
        <v>5</v>
      </c>
      <c r="U275" t="s">
        <v>34</v>
      </c>
    </row>
    <row r="276" spans="1:21" x14ac:dyDescent="0.3">
      <c r="A276">
        <v>1275</v>
      </c>
      <c r="B276" s="1">
        <v>46046</v>
      </c>
      <c r="C276" t="s">
        <v>50</v>
      </c>
      <c r="D276" t="s">
        <v>35</v>
      </c>
      <c r="E276" t="s">
        <v>23</v>
      </c>
      <c r="F276" t="s">
        <v>91</v>
      </c>
      <c r="G276" t="s">
        <v>107</v>
      </c>
      <c r="H276" t="s">
        <v>38</v>
      </c>
      <c r="I276" t="s">
        <v>27</v>
      </c>
      <c r="J276" t="s">
        <v>39</v>
      </c>
      <c r="K276" t="s">
        <v>29</v>
      </c>
      <c r="L276">
        <v>4</v>
      </c>
      <c r="M276">
        <v>5.19</v>
      </c>
      <c r="N276">
        <v>5</v>
      </c>
      <c r="O276">
        <v>19.72</v>
      </c>
      <c r="P276" t="s">
        <v>71</v>
      </c>
      <c r="Q276" t="s">
        <v>41</v>
      </c>
      <c r="R276" t="s">
        <v>34</v>
      </c>
      <c r="S276" t="s">
        <v>49</v>
      </c>
      <c r="T276">
        <v>3</v>
      </c>
      <c r="U276" t="s">
        <v>34</v>
      </c>
    </row>
    <row r="277" spans="1:21" x14ac:dyDescent="0.3">
      <c r="A277">
        <v>1276</v>
      </c>
      <c r="B277" s="1">
        <v>46102</v>
      </c>
      <c r="C277" t="s">
        <v>21</v>
      </c>
      <c r="D277" t="s">
        <v>35</v>
      </c>
      <c r="E277" t="s">
        <v>23</v>
      </c>
      <c r="F277" t="s">
        <v>83</v>
      </c>
      <c r="G277" t="s">
        <v>143</v>
      </c>
      <c r="H277" t="s">
        <v>54</v>
      </c>
      <c r="I277" t="s">
        <v>81</v>
      </c>
      <c r="J277" t="s">
        <v>140</v>
      </c>
      <c r="K277" t="s">
        <v>200</v>
      </c>
      <c r="L277">
        <v>1</v>
      </c>
      <c r="M277">
        <v>3.8</v>
      </c>
      <c r="N277">
        <v>0</v>
      </c>
      <c r="O277">
        <v>3.8</v>
      </c>
      <c r="P277" t="s">
        <v>199</v>
      </c>
      <c r="Q277" t="s">
        <v>63</v>
      </c>
      <c r="R277" t="s">
        <v>32</v>
      </c>
      <c r="S277" t="s">
        <v>33</v>
      </c>
      <c r="T277">
        <v>3</v>
      </c>
      <c r="U277" t="s">
        <v>34</v>
      </c>
    </row>
    <row r="278" spans="1:21" x14ac:dyDescent="0.3">
      <c r="A278">
        <v>1277</v>
      </c>
      <c r="B278" s="1">
        <v>46071</v>
      </c>
      <c r="C278" t="s">
        <v>42</v>
      </c>
      <c r="D278" t="s">
        <v>22</v>
      </c>
      <c r="E278" t="s">
        <v>23</v>
      </c>
      <c r="F278" t="s">
        <v>69</v>
      </c>
      <c r="G278" t="s">
        <v>110</v>
      </c>
      <c r="H278" t="s">
        <v>38</v>
      </c>
      <c r="I278" t="s">
        <v>81</v>
      </c>
      <c r="J278" t="s">
        <v>101</v>
      </c>
      <c r="K278" t="s">
        <v>200</v>
      </c>
      <c r="L278">
        <v>3</v>
      </c>
      <c r="M278">
        <v>3.72</v>
      </c>
      <c r="N278">
        <v>10</v>
      </c>
      <c r="O278">
        <v>10.039999999999999</v>
      </c>
      <c r="P278" t="s">
        <v>71</v>
      </c>
      <c r="Q278" t="s">
        <v>63</v>
      </c>
      <c r="R278" t="s">
        <v>32</v>
      </c>
      <c r="S278" t="s">
        <v>49</v>
      </c>
      <c r="T278">
        <v>5</v>
      </c>
      <c r="U278" t="s">
        <v>34</v>
      </c>
    </row>
    <row r="279" spans="1:21" x14ac:dyDescent="0.3">
      <c r="A279">
        <v>1278</v>
      </c>
      <c r="B279" s="1">
        <v>46035</v>
      </c>
      <c r="C279" t="s">
        <v>50</v>
      </c>
      <c r="D279" t="s">
        <v>77</v>
      </c>
      <c r="E279" t="s">
        <v>23</v>
      </c>
      <c r="F279" t="s">
        <v>24</v>
      </c>
      <c r="G279" t="s">
        <v>192</v>
      </c>
      <c r="H279" t="s">
        <v>54</v>
      </c>
      <c r="I279" t="s">
        <v>47</v>
      </c>
      <c r="J279" t="s">
        <v>68</v>
      </c>
      <c r="K279" t="s">
        <v>200</v>
      </c>
      <c r="L279">
        <v>1</v>
      </c>
      <c r="M279">
        <v>17.89</v>
      </c>
      <c r="N279">
        <v>0</v>
      </c>
      <c r="O279">
        <v>17.89</v>
      </c>
      <c r="P279" t="s">
        <v>40</v>
      </c>
      <c r="Q279" t="s">
        <v>63</v>
      </c>
      <c r="R279" t="s">
        <v>32</v>
      </c>
      <c r="S279" t="s">
        <v>33</v>
      </c>
      <c r="T279">
        <v>3</v>
      </c>
      <c r="U279" t="s">
        <v>34</v>
      </c>
    </row>
    <row r="280" spans="1:21" x14ac:dyDescent="0.3">
      <c r="A280">
        <v>1279</v>
      </c>
      <c r="B280" s="1">
        <v>46081</v>
      </c>
      <c r="C280" t="s">
        <v>42</v>
      </c>
      <c r="D280" t="s">
        <v>51</v>
      </c>
      <c r="E280" t="s">
        <v>23</v>
      </c>
      <c r="F280" t="s">
        <v>24</v>
      </c>
      <c r="G280" t="s">
        <v>149</v>
      </c>
      <c r="H280" t="s">
        <v>38</v>
      </c>
      <c r="I280" t="s">
        <v>27</v>
      </c>
      <c r="J280" t="s">
        <v>79</v>
      </c>
      <c r="K280" t="s">
        <v>29</v>
      </c>
      <c r="L280">
        <v>1</v>
      </c>
      <c r="M280">
        <v>4.8600000000000003</v>
      </c>
      <c r="N280">
        <v>0</v>
      </c>
      <c r="O280">
        <v>4.8600000000000003</v>
      </c>
      <c r="P280" t="s">
        <v>71</v>
      </c>
      <c r="Q280" t="s">
        <v>41</v>
      </c>
      <c r="R280" t="s">
        <v>34</v>
      </c>
      <c r="S280" t="s">
        <v>49</v>
      </c>
      <c r="T280">
        <v>3</v>
      </c>
      <c r="U280" t="s">
        <v>32</v>
      </c>
    </row>
    <row r="281" spans="1:21" x14ac:dyDescent="0.3">
      <c r="A281">
        <v>1280</v>
      </c>
      <c r="B281" s="1">
        <v>46078</v>
      </c>
      <c r="C281" t="s">
        <v>42</v>
      </c>
      <c r="D281" t="s">
        <v>51</v>
      </c>
      <c r="E281" t="s">
        <v>23</v>
      </c>
      <c r="F281" t="s">
        <v>36</v>
      </c>
      <c r="G281" t="s">
        <v>195</v>
      </c>
      <c r="H281" t="s">
        <v>38</v>
      </c>
      <c r="I281" t="s">
        <v>27</v>
      </c>
      <c r="J281" t="s">
        <v>44</v>
      </c>
      <c r="K281" t="s">
        <v>57</v>
      </c>
      <c r="L281">
        <v>1</v>
      </c>
      <c r="M281">
        <v>6.58</v>
      </c>
      <c r="N281">
        <v>10</v>
      </c>
      <c r="O281">
        <v>5.92</v>
      </c>
      <c r="P281" t="s">
        <v>71</v>
      </c>
      <c r="Q281" t="s">
        <v>63</v>
      </c>
      <c r="R281" t="s">
        <v>32</v>
      </c>
      <c r="S281" t="s">
        <v>49</v>
      </c>
      <c r="T281">
        <v>3</v>
      </c>
      <c r="U281" t="s">
        <v>34</v>
      </c>
    </row>
    <row r="282" spans="1:21" x14ac:dyDescent="0.3">
      <c r="A282">
        <v>1281</v>
      </c>
      <c r="B282" s="1">
        <v>46100</v>
      </c>
      <c r="C282" t="s">
        <v>21</v>
      </c>
      <c r="D282" t="s">
        <v>22</v>
      </c>
      <c r="E282" t="s">
        <v>23</v>
      </c>
      <c r="F282" t="s">
        <v>52</v>
      </c>
      <c r="G282" t="s">
        <v>53</v>
      </c>
      <c r="H282" t="s">
        <v>38</v>
      </c>
      <c r="I282" t="s">
        <v>55</v>
      </c>
      <c r="J282" t="s">
        <v>111</v>
      </c>
      <c r="K282" t="s">
        <v>62</v>
      </c>
      <c r="L282">
        <v>4</v>
      </c>
      <c r="M282">
        <v>5.64</v>
      </c>
      <c r="N282">
        <v>0</v>
      </c>
      <c r="O282">
        <v>22.56</v>
      </c>
      <c r="P282" t="s">
        <v>58</v>
      </c>
      <c r="Q282" t="s">
        <v>63</v>
      </c>
      <c r="R282" t="s">
        <v>34</v>
      </c>
      <c r="S282" t="s">
        <v>49</v>
      </c>
      <c r="T282">
        <v>3</v>
      </c>
      <c r="U282" t="s">
        <v>34</v>
      </c>
    </row>
    <row r="283" spans="1:21" x14ac:dyDescent="0.3">
      <c r="A283">
        <v>1282</v>
      </c>
      <c r="B283" s="1">
        <v>46061</v>
      </c>
      <c r="C283" t="s">
        <v>42</v>
      </c>
      <c r="D283" t="s">
        <v>51</v>
      </c>
      <c r="E283" t="s">
        <v>23</v>
      </c>
      <c r="F283" t="s">
        <v>59</v>
      </c>
      <c r="G283" t="s">
        <v>53</v>
      </c>
      <c r="H283" t="s">
        <v>54</v>
      </c>
      <c r="I283" t="s">
        <v>27</v>
      </c>
      <c r="J283" t="s">
        <v>39</v>
      </c>
      <c r="K283" t="s">
        <v>57</v>
      </c>
      <c r="L283">
        <v>2</v>
      </c>
      <c r="M283">
        <v>6.21</v>
      </c>
      <c r="N283">
        <v>0</v>
      </c>
      <c r="O283">
        <v>12.42</v>
      </c>
      <c r="P283" t="s">
        <v>30</v>
      </c>
      <c r="Q283" t="s">
        <v>41</v>
      </c>
      <c r="R283" t="s">
        <v>32</v>
      </c>
      <c r="S283" t="s">
        <v>49</v>
      </c>
      <c r="T283">
        <v>3</v>
      </c>
      <c r="U283" t="s">
        <v>34</v>
      </c>
    </row>
    <row r="284" spans="1:21" x14ac:dyDescent="0.3">
      <c r="A284">
        <v>1283</v>
      </c>
      <c r="B284" s="1">
        <v>46075</v>
      </c>
      <c r="C284" t="s">
        <v>42</v>
      </c>
      <c r="D284" t="s">
        <v>35</v>
      </c>
      <c r="E284" t="s">
        <v>23</v>
      </c>
      <c r="F284" t="s">
        <v>24</v>
      </c>
      <c r="G284" t="s">
        <v>157</v>
      </c>
      <c r="H284" t="s">
        <v>54</v>
      </c>
      <c r="I284" t="s">
        <v>61</v>
      </c>
      <c r="J284" t="s">
        <v>113</v>
      </c>
      <c r="K284" t="s">
        <v>29</v>
      </c>
      <c r="L284">
        <v>2</v>
      </c>
      <c r="M284">
        <v>6.26</v>
      </c>
      <c r="N284">
        <v>0</v>
      </c>
      <c r="O284">
        <v>12.52</v>
      </c>
      <c r="P284" t="s">
        <v>199</v>
      </c>
      <c r="Q284" t="s">
        <v>31</v>
      </c>
      <c r="R284" t="s">
        <v>34</v>
      </c>
      <c r="S284" t="s">
        <v>33</v>
      </c>
      <c r="T284">
        <v>4</v>
      </c>
      <c r="U284" t="s">
        <v>34</v>
      </c>
    </row>
    <row r="285" spans="1:21" x14ac:dyDescent="0.3">
      <c r="A285">
        <v>1284</v>
      </c>
      <c r="B285" s="1">
        <v>46108</v>
      </c>
      <c r="C285" t="s">
        <v>21</v>
      </c>
      <c r="D285" t="s">
        <v>22</v>
      </c>
      <c r="E285" t="s">
        <v>23</v>
      </c>
      <c r="F285" t="s">
        <v>83</v>
      </c>
      <c r="G285" t="s">
        <v>151</v>
      </c>
      <c r="H285" t="s">
        <v>26</v>
      </c>
      <c r="I285" t="s">
        <v>55</v>
      </c>
      <c r="J285" t="s">
        <v>56</v>
      </c>
      <c r="K285" t="s">
        <v>29</v>
      </c>
      <c r="L285">
        <v>4</v>
      </c>
      <c r="M285">
        <v>5.0599999999999996</v>
      </c>
      <c r="N285">
        <v>0</v>
      </c>
      <c r="O285">
        <v>20.239999999999998</v>
      </c>
      <c r="P285" t="s">
        <v>199</v>
      </c>
      <c r="Q285" t="s">
        <v>31</v>
      </c>
      <c r="R285" t="s">
        <v>32</v>
      </c>
      <c r="S285" t="s">
        <v>49</v>
      </c>
      <c r="T285">
        <v>4</v>
      </c>
      <c r="U285" t="s">
        <v>32</v>
      </c>
    </row>
    <row r="286" spans="1:21" x14ac:dyDescent="0.3">
      <c r="A286">
        <v>1285</v>
      </c>
      <c r="B286" s="1">
        <v>46080</v>
      </c>
      <c r="C286" t="s">
        <v>42</v>
      </c>
      <c r="D286" t="s">
        <v>51</v>
      </c>
      <c r="E286" t="s">
        <v>23</v>
      </c>
      <c r="F286" t="s">
        <v>91</v>
      </c>
      <c r="G286" t="s">
        <v>172</v>
      </c>
      <c r="H286" t="s">
        <v>26</v>
      </c>
      <c r="I286" t="s">
        <v>73</v>
      </c>
      <c r="J286" t="s">
        <v>146</v>
      </c>
      <c r="K286" t="s">
        <v>200</v>
      </c>
      <c r="L286">
        <v>3</v>
      </c>
      <c r="M286">
        <v>8.32</v>
      </c>
      <c r="N286">
        <v>0</v>
      </c>
      <c r="O286">
        <v>24.96</v>
      </c>
      <c r="P286" t="s">
        <v>40</v>
      </c>
      <c r="Q286" t="s">
        <v>31</v>
      </c>
      <c r="R286" t="s">
        <v>32</v>
      </c>
      <c r="S286" t="s">
        <v>49</v>
      </c>
      <c r="T286">
        <v>3</v>
      </c>
      <c r="U286" t="s">
        <v>34</v>
      </c>
    </row>
    <row r="287" spans="1:21" x14ac:dyDescent="0.3">
      <c r="A287">
        <v>1286</v>
      </c>
      <c r="B287" s="1">
        <v>46051</v>
      </c>
      <c r="C287" t="s">
        <v>50</v>
      </c>
      <c r="D287" t="s">
        <v>64</v>
      </c>
      <c r="E287" t="s">
        <v>23</v>
      </c>
      <c r="F287" t="s">
        <v>91</v>
      </c>
      <c r="G287" t="s">
        <v>115</v>
      </c>
      <c r="H287" t="s">
        <v>26</v>
      </c>
      <c r="I287" t="s">
        <v>55</v>
      </c>
      <c r="J287" t="s">
        <v>111</v>
      </c>
      <c r="K287" t="s">
        <v>29</v>
      </c>
      <c r="L287">
        <v>3</v>
      </c>
      <c r="M287">
        <v>4.99</v>
      </c>
      <c r="N287">
        <v>5</v>
      </c>
      <c r="O287">
        <v>14.22</v>
      </c>
      <c r="P287" t="s">
        <v>40</v>
      </c>
      <c r="Q287" t="s">
        <v>63</v>
      </c>
      <c r="R287" t="s">
        <v>32</v>
      </c>
      <c r="S287" t="s">
        <v>33</v>
      </c>
      <c r="T287">
        <v>3</v>
      </c>
      <c r="U287" t="s">
        <v>34</v>
      </c>
    </row>
    <row r="288" spans="1:21" x14ac:dyDescent="0.3">
      <c r="A288">
        <v>1287</v>
      </c>
      <c r="B288" s="1">
        <v>46058</v>
      </c>
      <c r="C288" t="s">
        <v>42</v>
      </c>
      <c r="D288" t="s">
        <v>77</v>
      </c>
      <c r="E288" t="s">
        <v>23</v>
      </c>
      <c r="F288" t="s">
        <v>36</v>
      </c>
      <c r="G288" t="s">
        <v>196</v>
      </c>
      <c r="H288" t="s">
        <v>54</v>
      </c>
      <c r="I288" t="s">
        <v>73</v>
      </c>
      <c r="J288" t="s">
        <v>74</v>
      </c>
      <c r="K288" t="s">
        <v>200</v>
      </c>
      <c r="L288">
        <v>3</v>
      </c>
      <c r="M288">
        <v>8.36</v>
      </c>
      <c r="N288">
        <v>0</v>
      </c>
      <c r="O288">
        <v>25.08</v>
      </c>
      <c r="P288" t="s">
        <v>30</v>
      </c>
      <c r="Q288" t="s">
        <v>63</v>
      </c>
      <c r="R288" t="s">
        <v>34</v>
      </c>
      <c r="S288" t="s">
        <v>33</v>
      </c>
      <c r="T288">
        <v>3</v>
      </c>
      <c r="U288" t="s">
        <v>34</v>
      </c>
    </row>
    <row r="289" spans="1:21" x14ac:dyDescent="0.3">
      <c r="A289">
        <v>1288</v>
      </c>
      <c r="B289" s="1">
        <v>46093</v>
      </c>
      <c r="C289" t="s">
        <v>21</v>
      </c>
      <c r="D289" t="s">
        <v>51</v>
      </c>
      <c r="E289" t="s">
        <v>23</v>
      </c>
      <c r="F289" t="s">
        <v>59</v>
      </c>
      <c r="G289" t="s">
        <v>107</v>
      </c>
      <c r="H289" t="s">
        <v>54</v>
      </c>
      <c r="I289" t="s">
        <v>73</v>
      </c>
      <c r="J289" t="s">
        <v>146</v>
      </c>
      <c r="K289" t="s">
        <v>200</v>
      </c>
      <c r="L289">
        <v>4</v>
      </c>
      <c r="M289">
        <v>8.2899999999999991</v>
      </c>
      <c r="N289">
        <v>0</v>
      </c>
      <c r="O289">
        <v>33.159999999999997</v>
      </c>
      <c r="P289" t="s">
        <v>71</v>
      </c>
      <c r="Q289" t="s">
        <v>31</v>
      </c>
      <c r="R289" t="s">
        <v>34</v>
      </c>
      <c r="S289" t="s">
        <v>33</v>
      </c>
      <c r="T289">
        <v>5</v>
      </c>
      <c r="U289" t="s">
        <v>32</v>
      </c>
    </row>
    <row r="290" spans="1:21" x14ac:dyDescent="0.3">
      <c r="A290">
        <v>1289</v>
      </c>
      <c r="B290" s="1">
        <v>46069</v>
      </c>
      <c r="C290" t="s">
        <v>42</v>
      </c>
      <c r="D290" t="s">
        <v>35</v>
      </c>
      <c r="E290" t="s">
        <v>23</v>
      </c>
      <c r="F290" t="s">
        <v>52</v>
      </c>
      <c r="G290" t="s">
        <v>120</v>
      </c>
      <c r="H290" t="s">
        <v>54</v>
      </c>
      <c r="I290" t="s">
        <v>27</v>
      </c>
      <c r="J290" t="s">
        <v>168</v>
      </c>
      <c r="K290" t="s">
        <v>57</v>
      </c>
      <c r="L290">
        <v>2</v>
      </c>
      <c r="M290">
        <v>6.78</v>
      </c>
      <c r="N290">
        <v>0</v>
      </c>
      <c r="O290">
        <v>13.56</v>
      </c>
      <c r="P290" t="s">
        <v>199</v>
      </c>
      <c r="Q290" t="s">
        <v>63</v>
      </c>
      <c r="R290" t="s">
        <v>32</v>
      </c>
      <c r="S290" t="s">
        <v>49</v>
      </c>
      <c r="T290">
        <v>3</v>
      </c>
      <c r="U290" t="s">
        <v>34</v>
      </c>
    </row>
    <row r="291" spans="1:21" x14ac:dyDescent="0.3">
      <c r="A291">
        <v>1290</v>
      </c>
      <c r="B291" s="1">
        <v>46028</v>
      </c>
      <c r="C291" t="s">
        <v>50</v>
      </c>
      <c r="D291" t="s">
        <v>77</v>
      </c>
      <c r="E291" t="s">
        <v>23</v>
      </c>
      <c r="F291" t="s">
        <v>36</v>
      </c>
      <c r="G291" t="s">
        <v>126</v>
      </c>
      <c r="H291" t="s">
        <v>38</v>
      </c>
      <c r="I291" t="s">
        <v>47</v>
      </c>
      <c r="J291" t="s">
        <v>48</v>
      </c>
      <c r="K291" t="s">
        <v>200</v>
      </c>
      <c r="L291">
        <v>2</v>
      </c>
      <c r="M291">
        <v>17.760000000000002</v>
      </c>
      <c r="N291">
        <v>0</v>
      </c>
      <c r="O291">
        <v>35.520000000000003</v>
      </c>
      <c r="P291" t="s">
        <v>199</v>
      </c>
      <c r="Q291" t="s">
        <v>41</v>
      </c>
      <c r="R291" t="s">
        <v>34</v>
      </c>
      <c r="S291" t="s">
        <v>49</v>
      </c>
      <c r="T291">
        <v>4</v>
      </c>
      <c r="U291" t="s">
        <v>32</v>
      </c>
    </row>
    <row r="292" spans="1:21" x14ac:dyDescent="0.3">
      <c r="A292">
        <v>1291</v>
      </c>
      <c r="B292" s="1">
        <v>46028</v>
      </c>
      <c r="C292" t="s">
        <v>50</v>
      </c>
      <c r="D292" t="s">
        <v>22</v>
      </c>
      <c r="E292" t="s">
        <v>23</v>
      </c>
      <c r="F292" t="s">
        <v>45</v>
      </c>
      <c r="G292" t="s">
        <v>177</v>
      </c>
      <c r="H292" t="s">
        <v>54</v>
      </c>
      <c r="I292" t="s">
        <v>89</v>
      </c>
      <c r="J292" t="s">
        <v>104</v>
      </c>
      <c r="K292" t="s">
        <v>200</v>
      </c>
      <c r="L292">
        <v>1</v>
      </c>
      <c r="M292">
        <v>5.33</v>
      </c>
      <c r="N292">
        <v>10</v>
      </c>
      <c r="O292">
        <v>4.8</v>
      </c>
      <c r="P292" t="s">
        <v>199</v>
      </c>
      <c r="Q292" t="s">
        <v>31</v>
      </c>
      <c r="R292" t="s">
        <v>34</v>
      </c>
      <c r="S292" t="s">
        <v>49</v>
      </c>
      <c r="T292">
        <v>5</v>
      </c>
      <c r="U292" t="s">
        <v>34</v>
      </c>
    </row>
    <row r="293" spans="1:21" x14ac:dyDescent="0.3">
      <c r="A293">
        <v>1292</v>
      </c>
      <c r="B293" s="1">
        <v>46098</v>
      </c>
      <c r="C293" t="s">
        <v>21</v>
      </c>
      <c r="D293" t="s">
        <v>22</v>
      </c>
      <c r="E293" t="s">
        <v>23</v>
      </c>
      <c r="F293" t="s">
        <v>59</v>
      </c>
      <c r="G293" t="s">
        <v>186</v>
      </c>
      <c r="H293" t="s">
        <v>26</v>
      </c>
      <c r="I293" t="s">
        <v>73</v>
      </c>
      <c r="J293" t="s">
        <v>137</v>
      </c>
      <c r="K293" t="s">
        <v>200</v>
      </c>
      <c r="L293">
        <v>4</v>
      </c>
      <c r="M293">
        <v>8.58</v>
      </c>
      <c r="N293">
        <v>0</v>
      </c>
      <c r="O293">
        <v>34.32</v>
      </c>
      <c r="P293" t="s">
        <v>40</v>
      </c>
      <c r="Q293" t="s">
        <v>41</v>
      </c>
      <c r="R293" t="s">
        <v>32</v>
      </c>
      <c r="S293" t="s">
        <v>33</v>
      </c>
      <c r="T293">
        <v>3</v>
      </c>
      <c r="U293" t="s">
        <v>32</v>
      </c>
    </row>
    <row r="294" spans="1:21" x14ac:dyDescent="0.3">
      <c r="A294">
        <v>1293</v>
      </c>
      <c r="B294" s="1">
        <v>46044</v>
      </c>
      <c r="C294" t="s">
        <v>50</v>
      </c>
      <c r="D294" t="s">
        <v>77</v>
      </c>
      <c r="E294" t="s">
        <v>23</v>
      </c>
      <c r="F294" t="s">
        <v>91</v>
      </c>
      <c r="G294" t="s">
        <v>197</v>
      </c>
      <c r="H294" t="s">
        <v>54</v>
      </c>
      <c r="I294" t="s">
        <v>27</v>
      </c>
      <c r="J294" t="s">
        <v>39</v>
      </c>
      <c r="K294" t="s">
        <v>57</v>
      </c>
      <c r="L294">
        <v>3</v>
      </c>
      <c r="M294">
        <v>6.29</v>
      </c>
      <c r="N294">
        <v>0</v>
      </c>
      <c r="O294">
        <v>18.87</v>
      </c>
      <c r="P294" t="s">
        <v>30</v>
      </c>
      <c r="Q294" t="s">
        <v>63</v>
      </c>
      <c r="R294" t="s">
        <v>32</v>
      </c>
      <c r="S294" t="s">
        <v>49</v>
      </c>
      <c r="T294">
        <v>4</v>
      </c>
      <c r="U294" t="s">
        <v>34</v>
      </c>
    </row>
    <row r="295" spans="1:21" x14ac:dyDescent="0.3">
      <c r="A295">
        <v>1294</v>
      </c>
      <c r="B295" s="1">
        <v>46037</v>
      </c>
      <c r="C295" t="s">
        <v>50</v>
      </c>
      <c r="D295" t="s">
        <v>64</v>
      </c>
      <c r="E295" t="s">
        <v>23</v>
      </c>
      <c r="F295" t="s">
        <v>36</v>
      </c>
      <c r="G295" t="s">
        <v>105</v>
      </c>
      <c r="H295" t="s">
        <v>38</v>
      </c>
      <c r="I295" t="s">
        <v>89</v>
      </c>
      <c r="J295" t="s">
        <v>104</v>
      </c>
      <c r="K295" t="s">
        <v>200</v>
      </c>
      <c r="L295">
        <v>4</v>
      </c>
      <c r="M295">
        <v>4.8899999999999997</v>
      </c>
      <c r="N295">
        <v>0</v>
      </c>
      <c r="O295">
        <v>19.559999999999999</v>
      </c>
      <c r="P295" t="s">
        <v>58</v>
      </c>
      <c r="Q295" t="s">
        <v>63</v>
      </c>
      <c r="R295" t="s">
        <v>32</v>
      </c>
      <c r="S295" t="s">
        <v>33</v>
      </c>
      <c r="T295">
        <v>3</v>
      </c>
      <c r="U295" t="s">
        <v>34</v>
      </c>
    </row>
    <row r="296" spans="1:21" x14ac:dyDescent="0.3">
      <c r="A296">
        <v>1295</v>
      </c>
      <c r="B296" s="1">
        <v>46096</v>
      </c>
      <c r="C296" t="s">
        <v>21</v>
      </c>
      <c r="D296" t="s">
        <v>77</v>
      </c>
      <c r="E296" t="s">
        <v>23</v>
      </c>
      <c r="F296" t="s">
        <v>36</v>
      </c>
      <c r="G296" t="s">
        <v>97</v>
      </c>
      <c r="H296" t="s">
        <v>54</v>
      </c>
      <c r="I296" t="s">
        <v>27</v>
      </c>
      <c r="J296" t="s">
        <v>168</v>
      </c>
      <c r="K296" t="s">
        <v>62</v>
      </c>
      <c r="L296">
        <v>2</v>
      </c>
      <c r="M296">
        <v>5.86</v>
      </c>
      <c r="N296">
        <v>5</v>
      </c>
      <c r="O296">
        <v>11.13</v>
      </c>
      <c r="P296" t="s">
        <v>71</v>
      </c>
      <c r="Q296" t="s">
        <v>31</v>
      </c>
      <c r="R296" t="s">
        <v>32</v>
      </c>
      <c r="S296" t="s">
        <v>49</v>
      </c>
      <c r="T296">
        <v>3</v>
      </c>
      <c r="U296" t="s">
        <v>32</v>
      </c>
    </row>
    <row r="297" spans="1:21" x14ac:dyDescent="0.3">
      <c r="A297">
        <v>1296</v>
      </c>
      <c r="B297" s="1">
        <v>46084</v>
      </c>
      <c r="C297" t="s">
        <v>21</v>
      </c>
      <c r="D297" t="s">
        <v>77</v>
      </c>
      <c r="E297" t="s">
        <v>23</v>
      </c>
      <c r="F297" t="s">
        <v>45</v>
      </c>
      <c r="G297" t="s">
        <v>173</v>
      </c>
      <c r="H297" t="s">
        <v>54</v>
      </c>
      <c r="I297" t="s">
        <v>61</v>
      </c>
      <c r="J297" t="s">
        <v>66</v>
      </c>
      <c r="K297" t="s">
        <v>57</v>
      </c>
      <c r="L297">
        <v>2</v>
      </c>
      <c r="M297">
        <v>7.82</v>
      </c>
      <c r="N297">
        <v>0</v>
      </c>
      <c r="O297">
        <v>15.64</v>
      </c>
      <c r="P297" t="s">
        <v>71</v>
      </c>
      <c r="Q297" t="s">
        <v>41</v>
      </c>
      <c r="R297" t="s">
        <v>32</v>
      </c>
      <c r="S297" t="s">
        <v>33</v>
      </c>
      <c r="T297">
        <v>3</v>
      </c>
      <c r="U297" t="s">
        <v>32</v>
      </c>
    </row>
    <row r="298" spans="1:21" x14ac:dyDescent="0.3">
      <c r="A298">
        <v>1297</v>
      </c>
      <c r="B298" s="1">
        <v>46072</v>
      </c>
      <c r="C298" t="s">
        <v>42</v>
      </c>
      <c r="D298" t="s">
        <v>77</v>
      </c>
      <c r="E298" t="s">
        <v>23</v>
      </c>
      <c r="F298" t="s">
        <v>52</v>
      </c>
      <c r="G298" t="s">
        <v>121</v>
      </c>
      <c r="H298" t="s">
        <v>54</v>
      </c>
      <c r="I298" t="s">
        <v>27</v>
      </c>
      <c r="J298" t="s">
        <v>79</v>
      </c>
      <c r="K298" t="s">
        <v>29</v>
      </c>
      <c r="L298">
        <v>4</v>
      </c>
      <c r="M298">
        <v>5.44</v>
      </c>
      <c r="N298">
        <v>10</v>
      </c>
      <c r="O298">
        <v>19.579999999999998</v>
      </c>
      <c r="P298" t="s">
        <v>199</v>
      </c>
      <c r="Q298" t="s">
        <v>31</v>
      </c>
      <c r="R298" t="s">
        <v>32</v>
      </c>
      <c r="S298" t="s">
        <v>33</v>
      </c>
      <c r="T298">
        <v>3</v>
      </c>
      <c r="U298" t="s">
        <v>32</v>
      </c>
    </row>
    <row r="299" spans="1:21" x14ac:dyDescent="0.3">
      <c r="A299">
        <v>1298</v>
      </c>
      <c r="B299" s="1">
        <v>46107</v>
      </c>
      <c r="C299" t="s">
        <v>21</v>
      </c>
      <c r="D299" t="s">
        <v>77</v>
      </c>
      <c r="E299" t="s">
        <v>23</v>
      </c>
      <c r="F299" t="s">
        <v>59</v>
      </c>
      <c r="G299" t="s">
        <v>198</v>
      </c>
      <c r="H299" t="s">
        <v>38</v>
      </c>
      <c r="I299" t="s">
        <v>73</v>
      </c>
      <c r="J299" t="s">
        <v>146</v>
      </c>
      <c r="K299" t="s">
        <v>200</v>
      </c>
      <c r="L299">
        <v>1</v>
      </c>
      <c r="M299">
        <v>8.51</v>
      </c>
      <c r="N299">
        <v>5</v>
      </c>
      <c r="O299">
        <v>8.08</v>
      </c>
      <c r="P299" t="s">
        <v>199</v>
      </c>
      <c r="Q299" t="s">
        <v>41</v>
      </c>
      <c r="R299" t="s">
        <v>32</v>
      </c>
      <c r="S299" t="s">
        <v>49</v>
      </c>
      <c r="T299">
        <v>3</v>
      </c>
      <c r="U299" t="s">
        <v>32</v>
      </c>
    </row>
    <row r="300" spans="1:21" x14ac:dyDescent="0.3">
      <c r="A300">
        <v>1299</v>
      </c>
      <c r="B300" s="1">
        <v>46067</v>
      </c>
      <c r="C300" t="s">
        <v>42</v>
      </c>
      <c r="D300" t="s">
        <v>35</v>
      </c>
      <c r="E300" t="s">
        <v>23</v>
      </c>
      <c r="F300" t="s">
        <v>24</v>
      </c>
      <c r="G300" t="s">
        <v>86</v>
      </c>
      <c r="H300" t="s">
        <v>54</v>
      </c>
      <c r="I300" t="s">
        <v>47</v>
      </c>
      <c r="J300" t="s">
        <v>68</v>
      </c>
      <c r="K300" t="s">
        <v>200</v>
      </c>
      <c r="L300">
        <v>4</v>
      </c>
      <c r="M300">
        <v>17.82</v>
      </c>
      <c r="N300">
        <v>5</v>
      </c>
      <c r="O300">
        <v>67.72</v>
      </c>
      <c r="P300" t="s">
        <v>199</v>
      </c>
      <c r="Q300" t="s">
        <v>41</v>
      </c>
      <c r="R300" t="s">
        <v>34</v>
      </c>
      <c r="S300" t="s">
        <v>33</v>
      </c>
      <c r="T300">
        <v>4</v>
      </c>
      <c r="U300" t="s">
        <v>34</v>
      </c>
    </row>
    <row r="301" spans="1:21" x14ac:dyDescent="0.3">
      <c r="A301">
        <v>1300</v>
      </c>
      <c r="B301" s="1">
        <v>46023</v>
      </c>
      <c r="C301" t="s">
        <v>50</v>
      </c>
      <c r="D301" t="s">
        <v>35</v>
      </c>
      <c r="E301" t="s">
        <v>23</v>
      </c>
      <c r="F301" t="s">
        <v>59</v>
      </c>
      <c r="G301" t="s">
        <v>158</v>
      </c>
      <c r="H301" t="s">
        <v>38</v>
      </c>
      <c r="I301" t="s">
        <v>73</v>
      </c>
      <c r="J301" t="s">
        <v>74</v>
      </c>
      <c r="K301" t="s">
        <v>200</v>
      </c>
      <c r="L301">
        <v>1</v>
      </c>
      <c r="M301">
        <v>8.0399999999999991</v>
      </c>
      <c r="N301">
        <v>0</v>
      </c>
      <c r="O301">
        <v>8.0399999999999991</v>
      </c>
      <c r="P301" t="s">
        <v>58</v>
      </c>
      <c r="Q301" t="s">
        <v>41</v>
      </c>
      <c r="R301" t="s">
        <v>34</v>
      </c>
      <c r="S301" t="s">
        <v>49</v>
      </c>
      <c r="T301">
        <v>5</v>
      </c>
      <c r="U3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by Product Category</vt:lpstr>
      <vt:lpstr>Sales by Order Channel</vt:lpstr>
      <vt:lpstr>Sales by Branch</vt:lpstr>
      <vt:lpstr>Monthly Revenue Trend</vt:lpstr>
      <vt:lpstr>Sales by Payment Method</vt:lpstr>
      <vt:lpstr>Dashboard</vt:lpstr>
      <vt:lpstr>Sales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Raut</dc:creator>
  <cp:lastModifiedBy>Shankar Raut</cp:lastModifiedBy>
  <dcterms:created xsi:type="dcterms:W3CDTF">2026-04-30T12:10:27Z</dcterms:created>
  <dcterms:modified xsi:type="dcterms:W3CDTF">2026-05-03T00:17:19Z</dcterms:modified>
</cp:coreProperties>
</file>